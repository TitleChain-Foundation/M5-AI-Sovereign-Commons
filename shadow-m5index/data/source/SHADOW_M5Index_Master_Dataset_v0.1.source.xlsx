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95d23df1c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76485557864b1a"/>
    <x:sheet xmlns:r="http://schemas.openxmlformats.org/officeDocument/2006/relationships" name="Assets_Index" sheetId="2" r:id="R1bd806acc3174606"/>
    <x:sheet xmlns:r="http://schemas.openxmlformats.org/officeDocument/2006/relationships" name="Ownership_Capital" sheetId="3" r:id="R9f4369cce1b74101"/>
    <x:sheet xmlns:r="http://schemas.openxmlformats.org/officeDocument/2006/relationships" name="Dispositions" sheetId="4" r:id="Rd2643d7bb00e4cc5"/>
    <x:sheet xmlns:r="http://schemas.openxmlformats.org/officeDocument/2006/relationships" name="Title_State" sheetId="5" r:id="Rb2e9e6dafad447aa"/>
    <x:sheet xmlns:r="http://schemas.openxmlformats.org/officeDocument/2006/relationships" name="Rights_Obligations" sheetId="6" r:id="R33c80f418e5844e5"/>
    <x:sheet xmlns:r="http://schemas.openxmlformats.org/officeDocument/2006/relationships" name="Debt_Liens" sheetId="7" r:id="Rf435e34073e748b7"/>
    <x:sheet xmlns:r="http://schemas.openxmlformats.org/officeDocument/2006/relationships" name="SHADOW_Scores" sheetId="8" r:id="Rdb77c5cf6d8c4f0c"/>
    <x:sheet xmlns:r="http://schemas.openxmlformats.org/officeDocument/2006/relationships" name="Orbitalys_Threats" sheetId="9" r:id="R43f76c8209074397"/>
    <x:sheet xmlns:r="http://schemas.openxmlformats.org/officeDocument/2006/relationships" name="People_Trust_Review" sheetId="10" r:id="R0a6da31bb28f45bd"/>
    <x:sheet xmlns:r="http://schemas.openxmlformats.org/officeDocument/2006/relationships" name="Evidence_Sources" sheetId="11" r:id="R49c85cec74e24af7"/>
    <x:sheet xmlns:r="http://schemas.openxmlformats.org/officeDocument/2006/relationships" name="Contributor_Queue" sheetId="12" r:id="Rb0b95f47a9d54f0c"/>
    <x:sheet xmlns:r="http://schemas.openxmlformats.org/officeDocument/2006/relationships" name="Glossary" sheetId="13" r:id="Re4f8fe7dce884b71"/>
    <x:sheet xmlns:r="http://schemas.openxmlformats.org/officeDocument/2006/relationships" name="Dashboard" sheetId="14" r:id="R2eef49e31dc8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7313D"/>
      <x:name val="Carlito"/>
    </x:font>
    <x:font>
      <x:b/>
      <x:sz val="11"/>
      <x:color rgb="FF17313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315B6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c68332cbf497a" /><Relationship Type="http://schemas.openxmlformats.org/officeDocument/2006/relationships/theme" Target="/xl/theme/theme1.xml" Id="R17b198f33cd84092" /><Relationship Type="http://schemas.openxmlformats.org/officeDocument/2006/relationships/sharedStrings" Target="/xl/sharedStrings.xml" Id="Rd2b06cfb61134ab4" /><Relationship Type="http://schemas.openxmlformats.org/officeDocument/2006/relationships/worksheet" Target="/xl/worksheets/sheet1.xml" Id="R7676485557864b1a" /><Relationship Type="http://schemas.openxmlformats.org/officeDocument/2006/relationships/worksheet" Target="/xl/worksheets/sheet2.xml" Id="R1bd806acc3174606" /><Relationship Type="http://schemas.openxmlformats.org/officeDocument/2006/relationships/worksheet" Target="/xl/worksheets/sheet3.xml" Id="R9f4369cce1b74101" /><Relationship Type="http://schemas.openxmlformats.org/officeDocument/2006/relationships/worksheet" Target="/xl/worksheets/sheet4.xml" Id="Rd2643d7bb00e4cc5" /><Relationship Type="http://schemas.openxmlformats.org/officeDocument/2006/relationships/worksheet" Target="/xl/worksheets/sheet5.xml" Id="Rb2e9e6dafad447aa" /><Relationship Type="http://schemas.openxmlformats.org/officeDocument/2006/relationships/worksheet" Target="/xl/worksheets/sheet6.xml" Id="R33c80f418e5844e5" /><Relationship Type="http://schemas.openxmlformats.org/officeDocument/2006/relationships/worksheet" Target="/xl/worksheets/sheet7.xml" Id="Rf435e34073e748b7" /><Relationship Type="http://schemas.openxmlformats.org/officeDocument/2006/relationships/worksheet" Target="/xl/worksheets/sheet8.xml" Id="Rdb77c5cf6d8c4f0c" /><Relationship Type="http://schemas.openxmlformats.org/officeDocument/2006/relationships/worksheet" Target="/xl/worksheets/sheet9.xml" Id="R43f76c8209074397" /><Relationship Type="http://schemas.openxmlformats.org/officeDocument/2006/relationships/worksheet" Target="/xl/worksheets/sheet10.xml" Id="R0a6da31bb28f45bd" /><Relationship Type="http://schemas.openxmlformats.org/officeDocument/2006/relationships/worksheet" Target="/xl/worksheets/sheet11.xml" Id="R49c85cec74e24af7" /><Relationship Type="http://schemas.openxmlformats.org/officeDocument/2006/relationships/worksheet" Target="/xl/worksheets/sheet12.xml" Id="Rb0b95f47a9d54f0c" /><Relationship Type="http://schemas.openxmlformats.org/officeDocument/2006/relationships/worksheet" Target="/xl/worksheets/sheet13.xml" Id="Re4f8fe7dce884b71" /><Relationship Type="http://schemas.openxmlformats.org/officeDocument/2006/relationships/worksheet" Target="/xl/worksheets/sheet14.xml" Id="R2eef49e31dc84e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a1cb51dc2e48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by Research Tranche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Asset 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a1cb51dc2e48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sIndexTable" displayName="AssetsIndexTable" ref="A1:AD37" headerRowCount="1" totalsRowCount="0" totalsRowShown="0">
  <x:tableColumns count="30">
    <x:tableColumn id="1" name="Asset_ID"/>
    <x:tableColumn id="2" name="Tranche"/>
    <x:tableColumn id="3" name="Asset_Name"/>
    <x:tableColumn id="4" name="Address_or_Description"/>
    <x:tableColumn id="5" name="City"/>
    <x:tableColumn id="6" name="State"/>
    <x:tableColumn id="7" name="Country"/>
    <x:tableColumn id="8" name="Asset_Type"/>
    <x:tableColumn id="9" name="Current_Public_Owner_or_Originating_Agency"/>
    <x:tableColumn id="10" name="Disposition_State"/>
    <x:tableColumn id="11" name="Transaction_Proof_State"/>
    <x:tableColumn id="12" name="Ownership_Resolution_State"/>
    <x:tableColumn id="13" name="Consideration_USD"/>
    <x:tableColumn id="14" name="Buyer_Grantee"/>
    <x:tableColumn id="15" name="Primary_Buyer_Type"/>
    <x:tableColumn id="16" name="Sponsor_Parent"/>
    <x:tableColumn id="17" name="Ultimate_Capital_Status"/>
    <x:tableColumn id="18" name="Known_or_Proposed_Use"/>
    <x:tableColumn id="19" name="Size_SF"/>
    <x:tableColumn id="20" name="Acreage"/>
    <x:tableColumn id="21" name="Rights_Flags"/>
    <x:tableColumn id="22" name="Title_State_Summary"/>
    <x:tableColumn id="23" name="Environmental_State_Summary"/>
    <x:tableColumn id="24" name="Confidence_Grade"/>
    <x:tableColumn id="25" name="Research_Priority"/>
    <x:tableColumn id="26" name="Evidence_State"/>
    <x:tableColumn id="27" name="Last_Verified"/>
    <x:tableColumn id="28" name="Open_Questions"/>
    <x:tableColumn id="29" name="Source_URL_1"/>
    <x:tableColumn id="30" name="Source_URL_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wnershipCapitalTable" displayName="OwnershipCapitalTable" ref="A1:M37" headerRowCount="1" totalsRowCount="0" totalsRowShown="0">
  <x:tableColumns count="13">
    <x:tableColumn id="1" name="Asset_ID"/>
    <x:tableColumn id="2" name="Recorded_Grantee"/>
    <x:tableColumn id="3" name="Grantee_Type"/>
    <x:tableColumn id="4" name="Principal_1"/>
    <x:tableColumn id="5" name="Principal_2"/>
    <x:tableColumn id="6" name="Sponsor_Parent"/>
    <x:tableColumn id="7" name="Sponsor_Type"/>
    <x:tableColumn id="8" name="Ultimate_Capital"/>
    <x:tableColumn id="9" name="Ultimate_Capital_Type"/>
    <x:tableColumn id="10" name="Acquisition_Lender"/>
    <x:tableColumn id="11" name="Debt_Amount_USD"/>
    <x:tableColumn id="12" name="Capital_Resolution_Level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positionsTable" displayName="DispositionsTable" ref="A1:M37" headerRowCount="1" totalsRowCount="0" totalsRowShown="0">
  <x:tableColumns count="13">
    <x:tableColumn id="1" name="Asset_ID"/>
    <x:tableColumn id="2" name="Disposition_Agency"/>
    <x:tableColumn id="3" name="Sale_Method"/>
    <x:tableColumn id="4" name="Listed_Date"/>
    <x:tableColumn id="5" name="Auction_Date"/>
    <x:tableColumn id="6" name="Award_Date"/>
    <x:tableColumn id="7" name="Closing_Date"/>
    <x:tableColumn id="8" name="Consideration_USD"/>
    <x:tableColumn id="9" name="High_Bid_or_Minimum_USD"/>
    <x:tableColumn id="10" name="Disposition_State"/>
    <x:tableColumn id="11" name="Transaction_Proof_State"/>
    <x:tableColumn id="12" name="Broker_or_Intermediary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tleStateTable" displayName="TitleStateTable" ref="A1:U37" headerRowCount="1" totalsRowCount="0" totalsRowShown="0">
  <x:tableColumns count="21">
    <x:tableColumn id="1" name="Asset_ID"/>
    <x:tableColumn id="2" name="Asset_Identity_State"/>
    <x:tableColumn id="3" name="Authoritative_Source"/>
    <x:tableColumn id="4" name="Parcel_or_Record_ID"/>
    <x:tableColumn id="5" name="Title_Verification_State"/>
    <x:tableColumn id="6" name="Verified_By"/>
    <x:tableColumn id="7" name="Verifier_Credential"/>
    <x:tableColumn id="8" name="Verified_At"/>
    <x:tableColumn id="9" name="Record_Effective_At"/>
    <x:tableColumn id="10" name="Provenance_State"/>
    <x:tableColumn id="11" name="Rights_State"/>
    <x:tableColumn id="12" name="Encumbrance_State"/>
    <x:tableColumn id="13" name="Claims_State"/>
    <x:tableColumn id="14" name="Obligations_State"/>
    <x:tableColumn id="15" name="Environmental_State"/>
    <x:tableColumn id="16" name="Authority_State"/>
    <x:tableColumn id="17" name="Transfer_State"/>
    <x:tableColumn id="18" name="M5MST_State"/>
    <x:tableColumn id="19" name="TSI_Score_0_100"/>
    <x:tableColumn id="20" name="TSI_Status"/>
    <x:tableColumn id="21" name="Title_State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ghtsObligationsTable" displayName="RightsObligationsTable" ref="A1:Q8" headerRowCount="1" totalsRowCount="0" totalsRowShown="0">
  <x:tableColumns count="17">
    <x:tableColumn id="1" name="Asset_ID"/>
    <x:tableColumn id="2" name="Right_or_Obligation_ID"/>
    <x:tableColumn id="3" name="Record_Type"/>
    <x:tableColumn id="4" name="Subtype"/>
    <x:tableColumn id="5" name="Holder_or_Obligor"/>
    <x:tableColumn id="6" name="Beneficiary_or_Authority"/>
    <x:tableColumn id="7" name="Scope"/>
    <x:tableColumn id="8" name="Priority"/>
    <x:tableColumn id="9" name="Effective_Date"/>
    <x:tableColumn id="10" name="Expiration_or_Due_Date"/>
    <x:tableColumn id="11" name="Estimated_Amount_USD"/>
    <x:tableColumn id="12" name="Successor_Liability"/>
    <x:tableColumn id="13" name="Transferability"/>
    <x:tableColumn id="14" name="Status"/>
    <x:tableColumn id="15" name="Source_Record"/>
    <x:tableColumn id="16" name="Evidence_State"/>
    <x:tableColumn id="1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btLiensTable" displayName="DebtLiensTable" ref="A1:S37" headerRowCount="1" totalsRowCount="0" totalsRowShown="0">
  <x:tableColumns count="19">
    <x:tableColumn id="1" name="Asset_ID"/>
    <x:tableColumn id="2" name="Instrument_ID"/>
    <x:tableColumn id="3" name="Debt_or_Lien_Type"/>
    <x:tableColumn id="4" name="Original_Lender"/>
    <x:tableColumn id="5" name="Current_Lender"/>
    <x:tableColumn id="6" name="Servicer"/>
    <x:tableColumn id="7" name="Special_Servicer"/>
    <x:tableColumn id="8" name="Original_Balance_USD"/>
    <x:tableColumn id="9" name="Current_Balance_USD"/>
    <x:tableColumn id="10" name="Interest_Rate"/>
    <x:tableColumn id="11" name="Maturity_Date"/>
    <x:tableColumn id="12" name="LTV"/>
    <x:tableColumn id="13" name="DSCR"/>
    <x:tableColumn id="14" name="Priority"/>
    <x:tableColumn id="15" name="Status"/>
    <x:tableColumn id="16" name="Modification_or_Extension"/>
    <x:tableColumn id="17" name="Source_Record"/>
    <x:tableColumn id="18" name="Evidence_State"/>
    <x:tableColumn id="1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dowScoresTable" displayName="ShadowScoresTable" ref="A1:M37" headerRowCount="1" totalsRowCount="0" totalsRowShown="0">
  <x:tableColumns count="13">
    <x:tableColumn id="1" name="Asset_ID"/>
    <x:tableColumn id="2" name="TSI_0_100"/>
    <x:tableColumn id="3" name="ASI_0_100"/>
    <x:tableColumn id="4" name="DPI_0_100"/>
    <x:tableColumn id="5" name="OOI_0_100"/>
    <x:tableColumn id="6" name="CCI_Context"/>
    <x:tableColumn id="7" name="PVMI_0_100"/>
    <x:tableColumn id="8" name="PBOI_0_100"/>
    <x:tableColumn id="9" name="Score_Date"/>
    <x:tableColumn id="10" name="Formula_Version"/>
    <x:tableColumn id="11" name="Confidence"/>
    <x:tableColumn id="12" name="Score_Status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rbitalysThreatsTable" displayName="OrbitalysThreatsTable" ref="A1:J3" headerRowCount="1" totalsRowCount="0" totalsRowShown="0">
  <x:tableColumns count="10">
    <x:tableColumn id="1" name="Asset_ID"/>
    <x:tableColumn id="2" name="Threat_ID"/>
    <x:tableColumn id="3" name="Vector"/>
    <x:tableColumn id="4" name="Target_Layer"/>
    <x:tableColumn id="5" name="Severity_0_100"/>
    <x:tableColumn id="6" name="Evidence_State"/>
    <x:tableColumn id="7" name="Control_or_Mitigation"/>
    <x:tableColumn id="8" name="M5Canon_Relevance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eopleTrustReviewTable" displayName="PeopleTrustReviewTable" ref="A1:K37" headerRowCount="1" totalsRowCount="0" totalsRowShown="0">
  <x:tableColumns count="11">
    <x:tableColumn id="1" name="Asset_ID"/>
    <x:tableColumn id="2" name="Review_State"/>
    <x:tableColumn id="3" name="Public_Benefit_Eligibility"/>
    <x:tableColumn id="4" name="Title_Readiness"/>
    <x:tableColumn id="5" name="Rights_Readiness"/>
    <x:tableColumn id="6" name="Environmental_Readiness"/>
    <x:tableColumn id="7" name="Capital_Feasibility"/>
    <x:tableColumn id="8" name="Community_Need"/>
    <x:tableColumn id="9" name="Jurisdiction_Readiness"/>
    <x:tableColumn id="10" name="Decision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SourcesTable" displayName="EvidenceSourcesTable" ref="A1:N41" headerRowCount="1" totalsRowCount="0" totalsRowShown="0">
  <x:tableColumns count="14">
    <x:tableColumn id="1" name="Source_ID"/>
    <x:tableColumn id="2" name="Asset_ID"/>
    <x:tableColumn id="3" name="Claim_Type"/>
    <x:tableColumn id="4" name="Source_Description"/>
    <x:tableColumn id="5" name="Source_URL"/>
    <x:tableColumn id="6" name="Source_Type"/>
    <x:tableColumn id="7" name="Jurisdiction"/>
    <x:tableColumn id="8" name="Observed_Date"/>
    <x:tableColumn id="9" name="Effective_Date"/>
    <x:tableColumn id="10" name="Evidence_State"/>
    <x:tableColumn id="11" name="Confidence"/>
    <x:tableColumn id="12" name="Contributor"/>
    <x:tableColumn id="13" name="Reviewer"/>
    <x:tableColumn id="1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ntributorQueueTable" displayName="ContributorQueueTable" ref="A1:J14" headerRowCount="1" totalsRowCount="0" totalsRowShown="0">
  <x:tableColumns count="10">
    <x:tableColumn id="1" name="Task_ID"/>
    <x:tableColumn id="2" name="Asset_ID"/>
    <x:tableColumn id="3" name="Priority"/>
    <x:tableColumn id="4" name="Workstream"/>
    <x:tableColumn id="5" name="Question"/>
    <x:tableColumn id="6" name="Desired_Evidence"/>
    <x:tableColumn id="7" name="Status"/>
    <x:tableColumn id="8" name="Assigned_To"/>
    <x:tableColumn id="9" name="Last_Update"/>
    <x:tableColumn id="10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lossaryTable" displayName="GlossaryTable" ref="A1:C16" headerRowCount="1" totalsRowCount="0" totalsRowShown="0">
  <x:tableColumns count="3">
    <x:tableColumn id="1" name="Term"/>
    <x:tableColumn id="2" name="Canonical_Meaning"/>
    <x:tableColumn id="3" name="Common_Language_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e3a0bf319a47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b227c8952440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64a929414541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c354c76827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ec1aa798f24e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6fe428dc824e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293e695c6f46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7fd9cffbc643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00480979014b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84d9a05349b4d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177e3161ce54b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6ee1483bea443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91f298bd2ac5417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4" t="str">
        <x:v>SHADOW M5Index — Public Asset, Debt, Ownership &amp; Title-State Dataset</x:v>
      </x:c>
    </x:row>
    <x:row r="3">
      <x:c r="A3" s="6" t="str">
        <x:v>Old-world holdings. New-world deal flow.</x:v>
      </x:c>
    </x:row>
    <x:row r="5">
      <x:c r="A5" s="10" t="str">
        <x:v>Purpose</x:v>
      </x:c>
      <x:c r="B5" s="11" t="str">
        <x:v>Contributor-ready working dataset. One canonical Asset_ID links asset identity to ownership, debt, title state, rights, threats, evidence, and People's Trust review.</x:v>
      </x:c>
    </x:row>
    <x:row r="6">
      <x:c r="A6" s="10" t="str">
        <x:v>SHADOW</x:v>
      </x:c>
      <x:c r="B6" s="11" t="str">
        <x:v>Systemic Holdings, Assets, Debt &amp; Ownership Watch.</x:v>
      </x:c>
    </x:row>
    <x:row r="7">
      <x:c r="A7" s="10" t="str">
        <x:v>M5Index</x:v>
      </x:c>
      <x:c r="B7" s="11" t="str">
        <x:v>Structured public intelligence for comparing and tracking real-world asset state, deal flow, risk, ownership, debt, and value migration over time.</x:v>
      </x:c>
    </x:row>
    <x:row r="8">
      <x:c r="A8" s="10" t="str">
        <x:v>Core rule</x:v>
      </x:c>
      <x:c r="B8" s="11" t="str">
        <x:v>A verified deed is not the same thing as an unencumbered asset. Track title, rights, liens, claims, obligations, environment, authority and transferability separately.</x:v>
      </x:c>
    </x:row>
    <x:row r="9">
      <x:c r="A9" s="10" t="str">
        <x:v>Evidence rule</x:v>
      </x:c>
      <x:c r="B9" s="11" t="str">
        <x:v>Unknown stays unknown. Winning bid ≠ completed sale. LLC grantee ≠ ultimate ownership. Model confidence is not evidence.</x:v>
      </x:c>
    </x:row>
    <x:row r="10">
      <x:c r="A10" s="10" t="str">
        <x:v>Contributor workflow</x:v>
      </x:c>
      <x:c r="B10" s="11" t="str">
        <x:v>Add evidence → source verify → corroborate → canonicalize. Preserve corrections and superseded records.</x:v>
      </x:c>
    </x:row>
    <x:row r="11">
      <x:c r="A11" s="10" t="str">
        <x:v>Public/private boundary</x:v>
      </x:c>
      <x:c r="B11" s="11" t="str">
        <x:v>Do not add private M5POD evidence, credentials, keys, confidential personal information, or protected production data.</x:v>
      </x:c>
    </x:row>
    <x:row r="12">
      <x:c r="A12" s="10" t="str">
        <x:v>Use</x:v>
      </x:c>
      <x:c r="B12" s="11" t="str">
        <x:v>Filter Assets_Index; pick an unresolved field; add sources in Evidence_Sources; update linked tabs using Asset_ID; never change a published Asset_ID.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30" hidden="0" customWidth="1"/>
    <x:col min="4" max="4" width="31" hidden="0" customWidth="1"/>
    <x:col min="5" max="5" width="20" hidden="0" customWidth="1"/>
    <x:col min="6" max="6" width="8" hidden="0" customWidth="1"/>
    <x:col min="7" max="7" width="9" hidden="0" customWidth="1"/>
    <x:col min="8" max="8" width="25" hidden="0" customWidth="1"/>
    <x:col min="9" max="9" width="28" hidden="0" customWidth="1"/>
    <x:col min="10" max="10" width="18" hidden="0" customWidth="1"/>
    <x:col min="11" max="11" width="22" hidden="0" customWidth="1"/>
    <x:col min="12" max="12" width="22" hidden="0" customWidth="1"/>
    <x:col min="13" max="13" width="16" hidden="0" customWidth="1"/>
    <x:col min="14" max="14" width="30" hidden="0" customWidth="1"/>
    <x:col min="15" max="15" width="18" hidden="0" customWidth="1"/>
    <x:col min="16" max="16" width="28" hidden="0" customWidth="1"/>
    <x:col min="17" max="17" width="20" hidden="0" customWidth="1"/>
    <x:col min="18" max="18" width="34" hidden="0" customWidth="1"/>
    <x:col min="19" max="19" width="14" hidden="0" customWidth="1"/>
    <x:col min="20" max="20" width="12" hidden="0" customWidth="1"/>
    <x:col min="21" max="21" width="28" hidden="0" customWidth="1"/>
    <x:col min="22" max="22" width="34" hidden="0" customWidth="1"/>
    <x:col min="23" max="23" width="28" hidden="0" customWidth="1"/>
    <x:col min="24" max="24" width="12" hidden="0" customWidth="1"/>
    <x:col min="25" max="25" width="14" hidden="0" customWidth="1"/>
    <x:col min="26" max="26" width="17" hidden="0" customWidth="1"/>
    <x:col min="27" max="27" width="13" hidden="0" customWidth="1"/>
    <x:col min="28" max="28" width="42" hidden="0" customWidth="1"/>
    <x:col min="29" max="29" width="52" hidden="0" customWidth="1"/>
    <x:col min="30" max="30" width="52" hidden="0" customWidth="1"/>
  </x:cols>
  <x:sheetData>
    <x:row r="1" ht="30" customHeight="1">
      <x:c r="A1" s="18" t="str">
        <x:v>Asset_ID</x:v>
      </x:c>
      <x:c r="B1" s="18" t="str">
        <x:v>Tranche</x:v>
      </x:c>
      <x:c r="C1" s="18" t="str">
        <x:v>Asset_Name</x:v>
      </x:c>
      <x:c r="D1" s="18" t="str">
        <x:v>Address_or_Description</x:v>
      </x:c>
      <x:c r="E1" s="18" t="str">
        <x:v>City</x:v>
      </x:c>
      <x:c r="F1" s="18" t="str">
        <x:v>State</x:v>
      </x:c>
      <x:c r="G1" s="18" t="str">
        <x:v>Country</x:v>
      </x:c>
      <x:c r="H1" s="18" t="str">
        <x:v>Asset_Type</x:v>
      </x:c>
      <x:c r="I1" s="18" t="str">
        <x:v>Current_Public_Owner_or_Originating_Agency</x:v>
      </x:c>
      <x:c r="J1" s="18" t="str">
        <x:v>Disposition_State</x:v>
      </x:c>
      <x:c r="K1" s="18" t="str">
        <x:v>Transaction_Proof_State</x:v>
      </x:c>
      <x:c r="L1" s="18" t="str">
        <x:v>Ownership_Resolution_State</x:v>
      </x:c>
      <x:c r="M1" s="18" t="str">
        <x:v>Consideration_USD</x:v>
      </x:c>
      <x:c r="N1" s="18" t="str">
        <x:v>Buyer_Grantee</x:v>
      </x:c>
      <x:c r="O1" s="18" t="str">
        <x:v>Primary_Buyer_Type</x:v>
      </x:c>
      <x:c r="P1" s="18" t="str">
        <x:v>Sponsor_Parent</x:v>
      </x:c>
      <x:c r="Q1" s="18" t="str">
        <x:v>Ultimate_Capital_Status</x:v>
      </x:c>
      <x:c r="R1" s="18" t="str">
        <x:v>Known_or_Proposed_Use</x:v>
      </x:c>
      <x:c r="S1" s="18" t="str">
        <x:v>Size_SF</x:v>
      </x:c>
      <x:c r="T1" s="18" t="str">
        <x:v>Acreage</x:v>
      </x:c>
      <x:c r="U1" s="18" t="str">
        <x:v>Rights_Flags</x:v>
      </x:c>
      <x:c r="V1" s="18" t="str">
        <x:v>Title_State_Summary</x:v>
      </x:c>
      <x:c r="W1" s="18" t="str">
        <x:v>Environmental_State_Summary</x:v>
      </x:c>
      <x:c r="X1" s="18" t="str">
        <x:v>Confidence_Grade</x:v>
      </x:c>
      <x:c r="Y1" s="18" t="str">
        <x:v>Research_Priority</x:v>
      </x:c>
      <x:c r="Z1" s="18" t="str">
        <x:v>Evidence_State</x:v>
      </x:c>
      <x:c r="AA1" s="18" t="str">
        <x:v>Last_Verified</x:v>
      </x:c>
      <x:c r="AB1" s="18" t="str">
        <x:v>Open_Questions</x:v>
      </x:c>
      <x:c r="AC1" s="18" t="str">
        <x:v>Source_URL_1</x:v>
      </x:c>
      <x:c r="AD1" s="18" t="str">
        <x:v>Source_URL_2</x:v>
      </x:c>
    </x:row>
    <x:row r="2">
      <x:c r="A2" s="11" t="str">
        <x:v>SHD-001</x:v>
      </x:c>
      <x:c r="B2" s="11" t="str">
        <x:v>Tranche 1</x:v>
      </x:c>
      <x:c r="C2" s="11" t="str">
        <x:v>Former USGS / Rockaway Grove</x:v>
      </x:c>
      <x:c r="D2" s="11" t="str">
        <x:v>Former USGS campus / Rockaway Grove</x:v>
      </x:c>
      <x:c r="E2" s="11" t="str">
        <x:v>Menlo Park</x:v>
      </x:c>
      <x:c r="F2" s="11" t="str">
        <x:v>CA</x:v>
      </x:c>
      <x:c r="G2" s="11" t="str">
        <x:v>USA</x:v>
      </x:c>
      <x:c r="H2" s="11" t="str">
        <x:v>Federal real estate</x:v>
      </x:c>
      <x:c r="I2" s="11" t="str">
        <x:v>U.S. Government / GSA</x:v>
      </x:c>
      <x:c r="J2" s="11" t="str">
        <x:v>P6 CLOSED</x:v>
      </x:c>
      <x:c r="K2" s="11" t="str">
        <x:v>S3 CLOSING_CONFIRMED</x:v>
      </x:c>
      <x:c r="L2" s="11" t="str">
        <x:v>O3 SPONSOR_IDENTIFIED</x:v>
      </x:c>
      <x:c r="M2" s="20" t="n">
        <x:v>137000006</x:v>
      </x:c>
      <x:c r="N2" s="11" t="str">
        <x:v>USGS Menlo Park LLC</x:v>
      </x:c>
      <x:c r="O2" s="11" t="str">
        <x:v>DEVELOPER</x:v>
      </x:c>
      <x:c r="P2" s="11" t="str">
        <x:v>Presidio Bay Ventures</x:v>
      </x:c>
      <x:c r="Q2" s="11" t="str">
        <x:v>PARTIAL</x:v>
      </x:c>
      <x:c r="R2" s="11" t="str">
        <x:v>Proposed housing, office, commercial, childcare, open space</x:v>
      </x:c>
      <x:c r="S2" s="11"/>
      <x:c r="T2" s="11"/>
      <x:c r="U2" s="11" t="str"/>
      <x:c r="V2" s="11" t="str">
        <x:v>TITLE REVIEW NEEDED</x:v>
      </x:c>
      <x:c r="W2" s="11" t="str">
        <x:v>UNASSESSED</x:v>
      </x:c>
      <x:c r="X2" s="11" t="str">
        <x:v>A</x:v>
      </x:c>
      <x:c r="Y2" s="11" t="str">
        <x:v>HIGH</x:v>
      </x:c>
      <x:c r="Z2" s="11" t="str">
        <x:v>SUBMITTED</x:v>
      </x:c>
      <x:c r="AA2" s="11" t="str">
        <x:v>2026-09-20</x:v>
      </x:c>
      <x:c r="AB2" s="11" t="str">
        <x:v>Capture recorded deed, acquisition lender, ultimate capital source</x:v>
      </x:c>
      <x:c r="AC2" s="11" t="str"/>
      <x:c r="AD2" s="11" t="str"/>
    </x:row>
    <x:row r="3">
      <x:c r="A3" s="11" t="str">
        <x:v>SHD-002</x:v>
      </x:c>
      <x:c r="B3" s="11" t="str">
        <x:v>Tranche 1</x:v>
      </x:c>
      <x:c r="C3" s="11" t="str">
        <x:v>GSA Regional Office Building</x:v>
      </x:c>
      <x:c r="D3" s="11" t="str">
        <x:v>301 7th St SW</x:v>
      </x:c>
      <x:c r="E3" s="11" t="str">
        <x:v>Washington</x:v>
      </x:c>
      <x:c r="F3" s="11" t="str">
        <x:v>DC</x:v>
      </x:c>
      <x:c r="G3" s="11" t="str">
        <x:v>USA</x:v>
      </x:c>
      <x:c r="H3" s="11" t="str">
        <x:v>Federal office</x:v>
      </x:c>
      <x:c r="I3" s="11" t="str">
        <x:v>U.S. Government / GSA</x:v>
      </x:c>
      <x:c r="J3" s="11" t="str">
        <x:v>P6 CLOSED</x:v>
      </x:c>
      <x:c r="K3" s="11" t="str">
        <x:v>S3 CLOSING_CONFIRMED</x:v>
      </x:c>
      <x:c r="L3" s="11" t="str">
        <x:v>O3 SPONSOR_IDENTIFIED</x:v>
      </x:c>
      <x:c r="M3" s="20" t="n">
        <x:v>24260000</x:v>
      </x:c>
      <x:c r="N3" s="11" t="str">
        <x:v>Dalian Development affiliate</x:v>
      </x:c>
      <x:c r="O3" s="11" t="str">
        <x:v>FAMILY_OFFICE</x:v>
      </x:c>
      <x:c r="P3" s="11" t="str">
        <x:v>Dalian Development / Hossein Fateh family office</x:v>
      </x:c>
      <x:c r="Q3" s="11" t="str">
        <x:v>PARTIAL</x:v>
      </x:c>
      <x:c r="R3" s="11" t="str">
        <x:v>Redevelopment / strategic real estate</x:v>
      </x:c>
      <x:c r="S3" s="11"/>
      <x:c r="T3" s="11"/>
      <x:c r="U3" s="11" t="str"/>
      <x:c r="V3" s="11" t="str">
        <x:v>TITLE REVIEW NEEDED</x:v>
      </x:c>
      <x:c r="W3" s="11" t="str">
        <x:v>UNASSESSED</x:v>
      </x:c>
      <x:c r="X3" s="11" t="str">
        <x:v>A</x:v>
      </x:c>
      <x:c r="Y3" s="11" t="str">
        <x:v>HIGH</x:v>
      </x:c>
      <x:c r="Z3" s="11" t="str">
        <x:v>SUBMITTED</x:v>
      </x:c>
      <x:c r="AA3" s="11" t="str">
        <x:v>2026-09-20</x:v>
      </x:c>
      <x:c r="AB3" s="11" t="str">
        <x:v>Resolve exact grantee, acquisition lender, capital stack</x:v>
      </x:c>
      <x:c r="AC3" s="11" t="str"/>
      <x:c r="AD3" s="11" t="str"/>
    </x:row>
    <x:row r="4">
      <x:c r="A4" s="11" t="str">
        <x:v>SHD-003</x:v>
      </x:c>
      <x:c r="B4" s="11" t="str">
        <x:v>Tranche 1</x:v>
      </x:c>
      <x:c r="C4" s="11" t="str">
        <x:v>Old Post Office</x:v>
      </x:c>
      <x:c r="D4" s="11" t="str">
        <x:v>Old Post Office</x:v>
      </x:c>
      <x:c r="E4" s="11" t="str">
        <x:v>Washington</x:v>
      </x:c>
      <x:c r="F4" s="11" t="str">
        <x:v>DC</x:v>
      </x:c>
      <x:c r="G4" s="11" t="str">
        <x:v>USA</x:v>
      </x:c>
      <x:c r="H4" s="11" t="str">
        <x:v>Historic federal property / leasehold transaction</x:v>
      </x:c>
      <x:c r="I4" s="11" t="str">
        <x:v>U.S. Government / GSA</x:v>
      </x:c>
      <x:c r="J4" s="11" t="str">
        <x:v>P6 CLOSED</x:v>
      </x:c>
      <x:c r="K4" s="11" t="str">
        <x:v>S3 CLOSING_CONFIRMED</x:v>
      </x:c>
      <x:c r="L4" s="11" t="str">
        <x:v>O3 SPONSOR_IDENTIFIED</x:v>
      </x:c>
      <x:c r="M4" s="20" t="n">
        <x:v>80000000</x:v>
      </x:c>
      <x:c r="N4" s="11" t="str">
        <x:v>Affiliate of BDT &amp; MSD Partners / existing leaseholder</x:v>
      </x:c>
      <x:c r="O4" s="11" t="str">
        <x:v>PRIVATE_EQUITY</x:v>
      </x:c>
      <x:c r="P4" s="11" t="str">
        <x:v>BDT &amp; MSD Partners</x:v>
      </x:c>
      <x:c r="Q4" s="11" t="str">
        <x:v>PARTIAL</x:v>
      </x:c>
      <x:c r="R4" s="11" t="str">
        <x:v>Existing leasehold / hospitality-related asset</x:v>
      </x:c>
      <x:c r="S4" s="11"/>
      <x:c r="T4" s="11"/>
      <x:c r="U4" s="11" t="str"/>
      <x:c r="V4" s="11" t="str">
        <x:v>TITLE / LEASEHOLD REVIEW NEEDED</x:v>
      </x:c>
      <x:c r="W4" s="11" t="str">
        <x:v>UNASSESSED</x:v>
      </x:c>
      <x:c r="X4" s="11" t="str">
        <x:v>B</x:v>
      </x:c>
      <x:c r="Y4" s="11" t="str">
        <x:v>HIGH</x:v>
      </x:c>
      <x:c r="Z4" s="11" t="str">
        <x:v>SUBMITTED</x:v>
      </x:c>
      <x:c r="AA4" s="11" t="str">
        <x:v>2026-09-20</x:v>
      </x:c>
      <x:c r="AB4" s="11" t="str">
        <x:v>Resolve exact acquisition entity, financing, leasehold vs title interests</x:v>
      </x:c>
      <x:c r="AC4" s="11" t="str"/>
      <x:c r="AD4" s="11" t="str"/>
    </x:row>
    <x:row r="5">
      <x:c r="A5" s="11" t="str">
        <x:v>SHD-004</x:v>
      </x:c>
      <x:c r="B5" s="11" t="str">
        <x:v>Tranche 1</x:v>
      </x:c>
      <x:c r="C5" s="11" t="str">
        <x:v>Liberty Loan Building</x:v>
      </x:c>
      <x:c r="D5" s="11" t="str">
        <x:v>401 14th St SW</x:v>
      </x:c>
      <x:c r="E5" s="11" t="str">
        <x:v>Washington</x:v>
      </x:c>
      <x:c r="F5" s="11" t="str">
        <x:v>DC</x:v>
      </x:c>
      <x:c r="G5" s="11" t="str">
        <x:v>USA</x:v>
      </x:c>
      <x:c r="H5" s="11" t="str">
        <x:v>Federal office</x:v>
      </x:c>
      <x:c r="I5" s="11" t="str">
        <x:v>U.S. Government / GSA</x:v>
      </x:c>
      <x:c r="J5" s="11" t="str">
        <x:v>P6 CLOSED</x:v>
      </x:c>
      <x:c r="K5" s="11" t="str">
        <x:v>S3 CLOSING_CONFIRMED</x:v>
      </x:c>
      <x:c r="L5" s="11" t="str">
        <x:v>O4 LENDER_IDENTIFIED</x:v>
      </x:c>
      <x:c r="M5" s="20" t="n">
        <x:v>17000000</x:v>
      </x:c>
      <x:c r="N5" s="11" t="str">
        <x:v>401 14 ST SW 2025 LLC</x:v>
      </x:c>
      <x:c r="O5" s="11" t="str">
        <x:v>LOCAL_PRIVATE</x:v>
      </x:c>
      <x:c r="P5" s="11" t="str">
        <x:v>Satvik “Vinny” Raj</x:v>
      </x:c>
      <x:c r="Q5" s="11" t="str">
        <x:v>PARTIAL</x:v>
      </x:c>
      <x:c r="R5" s="11" t="str">
        <x:v>Redevelopment</x:v>
      </x:c>
      <x:c r="S5" s="11"/>
      <x:c r="T5" s="11"/>
      <x:c r="U5" s="11" t="str"/>
      <x:c r="V5" s="11" t="str">
        <x:v>TITLE REVIEW NEEDED</x:v>
      </x:c>
      <x:c r="W5" s="11" t="str">
        <x:v>UNASSESSED</x:v>
      </x:c>
      <x:c r="X5" s="11" t="str">
        <x:v>A</x:v>
      </x:c>
      <x:c r="Y5" s="11" t="str">
        <x:v>HIGH</x:v>
      </x:c>
      <x:c r="Z5" s="11" t="str">
        <x:v>SUBMITTED</x:v>
      </x:c>
      <x:c r="AA5" s="11" t="str">
        <x:v>2026-09-20</x:v>
      </x:c>
      <x:c r="AB5" s="11" t="str">
        <x:v>Capture deed; confirm OakNorth debt terms and ultimate equity capital</x:v>
      </x:c>
      <x:c r="AC5" s="11" t="str"/>
      <x:c r="AD5" s="11" t="str"/>
    </x:row>
    <x:row r="6">
      <x:c r="A6" s="11" t="str">
        <x:v>SHD-005</x:v>
      </x:c>
      <x:c r="B6" s="11" t="str">
        <x:v>Tranche 1</x:v>
      </x:c>
      <x:c r="C6" s="11" t="str">
        <x:v>Gus J. Solomon U.S. Courthouse</x:v>
      </x:c>
      <x:c r="D6" s="11" t="str">
        <x:v>Former federal courthouse</x:v>
      </x:c>
      <x:c r="E6" s="11" t="str">
        <x:v>Portland</x:v>
      </x:c>
      <x:c r="F6" s="11" t="str">
        <x:v>OR</x:v>
      </x:c>
      <x:c r="G6" s="11" t="str">
        <x:v>USA</x:v>
      </x:c>
      <x:c r="H6" s="11" t="str">
        <x:v>Historic courthouse</x:v>
      </x:c>
      <x:c r="I6" s="11" t="str">
        <x:v>U.S. Government / GSA</x:v>
      </x:c>
      <x:c r="J6" s="11" t="str">
        <x:v>P6 CLOSED</x:v>
      </x:c>
      <x:c r="K6" s="11" t="str">
        <x:v>S3 CLOSING_CONFIRMED</x:v>
      </x:c>
      <x:c r="L6" s="11" t="str">
        <x:v>O3 SPONSOR_IDENTIFIED</x:v>
      </x:c>
      <x:c r="M6" s="20" t="n">
        <x:v>1800000</x:v>
      </x:c>
      <x:c r="N6" s="11" t="str">
        <x:v>ScanlanKemperBard (SKB)</x:v>
      </x:c>
      <x:c r="O6" s="11" t="str">
        <x:v>PRIVATE_EQUITY</x:v>
      </x:c>
      <x:c r="P6" s="11" t="str">
        <x:v>ScanlanKemperBard</x:v>
      </x:c>
      <x:c r="Q6" s="11" t="str">
        <x:v>PARTIAL</x:v>
      </x:c>
      <x:c r="R6" s="11" t="str">
        <x:v>Redevelopment / investment</x:v>
      </x:c>
      <x:c r="S6" s="11"/>
      <x:c r="T6" s="11"/>
      <x:c r="U6" s="11" t="str"/>
      <x:c r="V6" s="11" t="str">
        <x:v>TITLE REVIEW NEEDED</x:v>
      </x:c>
      <x:c r="W6" s="11" t="str">
        <x:v>UNASSESSED</x:v>
      </x:c>
      <x:c r="X6" s="11" t="str">
        <x:v>A</x:v>
      </x:c>
      <x:c r="Y6" s="11" t="str">
        <x:v>MEDIUM</x:v>
      </x:c>
      <x:c r="Z6" s="11" t="str">
        <x:v>SUBMITTED</x:v>
      </x:c>
      <x:c r="AA6" s="11" t="str">
        <x:v>2026-09-20</x:v>
      </x:c>
      <x:c r="AB6" s="11" t="str">
        <x:v>Resolve exact grantee, lender, redevelopment plan</x:v>
      </x:c>
      <x:c r="AC6" s="11" t="str"/>
      <x:c r="AD6" s="11" t="str"/>
    </x:row>
    <x:row r="7">
      <x:c r="A7" s="11" t="str">
        <x:v>SHD-006</x:v>
      </x:c>
      <x:c r="B7" s="11" t="str">
        <x:v>Tranche 1</x:v>
      </x:c>
      <x:c r="C7" s="11" t="str">
        <x:v>Historic U.S. Courthouse</x:v>
      </x:c>
      <x:c r="D7" s="11" t="str">
        <x:v>123 E Walnut / former federal courthouse</x:v>
      </x:c>
      <x:c r="E7" s="11" t="str">
        <x:v>Des Moines</x:v>
      </x:c>
      <x:c r="F7" s="11" t="str">
        <x:v>IA</x:v>
      </x:c>
      <x:c r="G7" s="11" t="str">
        <x:v>USA</x:v>
      </x:c>
      <x:c r="H7" s="11" t="str">
        <x:v>Historic courthouse</x:v>
      </x:c>
      <x:c r="I7" s="11" t="str">
        <x:v>U.S. Government / GSA</x:v>
      </x:c>
      <x:c r="J7" s="11" t="str">
        <x:v>P6 CLOSED</x:v>
      </x:c>
      <x:c r="K7" s="11" t="str">
        <x:v>S3 CLOSING_CONFIRMED</x:v>
      </x:c>
      <x:c r="L7" s="11" t="str">
        <x:v>O2 PRINCIPALS_IDENTIFIED</x:v>
      </x:c>
      <x:c r="M7" s="20" t="n">
        <x:v>2600000</x:v>
      </x:c>
      <x:c r="N7" s="11" t="str">
        <x:v>123 E Walnut LLC</x:v>
      </x:c>
      <x:c r="O7" s="11" t="str">
        <x:v>LOCAL_PRIVATE</x:v>
      </x:c>
      <x:c r="P7" s="11" t="str">
        <x:v>Brian Seidensticker</x:v>
      </x:c>
      <x:c r="Q7" s="11" t="str">
        <x:v>PARTIAL</x:v>
      </x:c>
      <x:c r="R7" s="11" t="str">
        <x:v>Redevelopment</x:v>
      </x:c>
      <x:c r="S7" s="11"/>
      <x:c r="T7" s="11"/>
      <x:c r="U7" s="11" t="str"/>
      <x:c r="V7" s="11" t="str">
        <x:v>TITLE REVIEW NEEDED</x:v>
      </x:c>
      <x:c r="W7" s="11" t="str">
        <x:v>UNASSESSED</x:v>
      </x:c>
      <x:c r="X7" s="11" t="str">
        <x:v>B</x:v>
      </x:c>
      <x:c r="Y7" s="11" t="str">
        <x:v>MEDIUM</x:v>
      </x:c>
      <x:c r="Z7" s="11" t="str">
        <x:v>SUBMITTED</x:v>
      </x:c>
      <x:c r="AA7" s="11" t="str">
        <x:v>2026-09-20</x:v>
      </x:c>
      <x:c r="AB7" s="11" t="str">
        <x:v>Do not infer VC fund money; resolve acquisition capital and lender</x:v>
      </x:c>
      <x:c r="AC7" s="11" t="str"/>
      <x:c r="AD7" s="11" t="str"/>
    </x:row>
    <x:row r="8">
      <x:c r="A8" s="11" t="str">
        <x:v>SHD-007</x:v>
      </x:c>
      <x:c r="B8" s="11" t="str">
        <x:v>Tranche 1</x:v>
      </x:c>
      <x:c r="C8" s="11" t="str">
        <x:v>Twin Cities Army Ammunition Plant parcel</x:v>
      </x:c>
      <x:c r="D8" s="11" t="str">
        <x:v>Federal parcel</x:v>
      </x:c>
      <x:c r="E8" s="11" t="str">
        <x:v>Arden Hills</x:v>
      </x:c>
      <x:c r="F8" s="11" t="str">
        <x:v>MN</x:v>
      </x:c>
      <x:c r="G8" s="11" t="str">
        <x:v>USA</x:v>
      </x:c>
      <x:c r="H8" s="11" t="str">
        <x:v>Industrial / development land</x:v>
      </x:c>
      <x:c r="I8" s="11" t="str">
        <x:v>U.S. Government / GSA</x:v>
      </x:c>
      <x:c r="J8" s="11" t="str">
        <x:v>P6 CLOSED</x:v>
      </x:c>
      <x:c r="K8" s="11" t="str">
        <x:v>S3 CLOSING_CONFIRMED</x:v>
      </x:c>
      <x:c r="L8" s="11" t="str">
        <x:v>O3 SPONSOR_IDENTIFIED</x:v>
      </x:c>
      <x:c r="M8" s="20" t="n">
        <x:v>3580000</x:v>
      </x:c>
      <x:c r="N8" s="11" t="str">
        <x:v>Maplewood Development</x:v>
      </x:c>
      <x:c r="O8" s="11" t="str">
        <x:v>DEVELOPER</x:v>
      </x:c>
      <x:c r="P8" s="11" t="str">
        <x:v>Mario J. Cocchiarella / Maplewood Development</x:v>
      </x:c>
      <x:c r="Q8" s="11" t="str">
        <x:v>PARTIAL</x:v>
      </x:c>
      <x:c r="R8" s="11" t="str">
        <x:v>Proposed Hillview Business Park</x:v>
      </x:c>
      <x:c r="S8" s="11"/>
      <x:c r="T8" s="11"/>
      <x:c r="U8" s="11" t="str"/>
      <x:c r="V8" s="11" t="str">
        <x:v>TITLE / ENVIRONMENTAL REVIEW NEEDED</x:v>
      </x:c>
      <x:c r="W8" s="11" t="str">
        <x:v>UNASSESSED</x:v>
      </x:c>
      <x:c r="X8" s="11" t="str">
        <x:v>A</x:v>
      </x:c>
      <x:c r="Y8" s="11" t="str">
        <x:v>HIGH</x:v>
      </x:c>
      <x:c r="Z8" s="11" t="str">
        <x:v>SUBMITTED</x:v>
      </x:c>
      <x:c r="AA8" s="11" t="str">
        <x:v>2026-09-20</x:v>
      </x:c>
      <x:c r="AB8" s="11" t="str">
        <x:v>Resolve parcel/deed, environmental history, acquisition lender</x:v>
      </x:c>
      <x:c r="AC8" s="11" t="str"/>
      <x:c r="AD8" s="11" t="str"/>
    </x:row>
    <x:row r="9">
      <x:c r="A9" s="11" t="str">
        <x:v>SHD-008</x:v>
      </x:c>
      <x:c r="B9" s="11" t="str">
        <x:v>Tranche 1</x:v>
      </x:c>
      <x:c r="C9" s="11" t="str">
        <x:v>Former Madawaska Land Port of Entry</x:v>
      </x:c>
      <x:c r="D9" s="11" t="str">
        <x:v>63 Bridge St area</x:v>
      </x:c>
      <x:c r="E9" s="11" t="str">
        <x:v>Madawaska</x:v>
      </x:c>
      <x:c r="F9" s="11" t="str">
        <x:v>ME</x:v>
      </x:c>
      <x:c r="G9" s="11" t="str">
        <x:v>USA</x:v>
      </x:c>
      <x:c r="H9" s="11" t="str">
        <x:v>Former federal border property</x:v>
      </x:c>
      <x:c r="I9" s="11" t="str">
        <x:v>U.S. Government / GSA</x:v>
      </x:c>
      <x:c r="J9" s="11" t="str">
        <x:v>P6 CLOSED</x:v>
      </x:c>
      <x:c r="K9" s="11" t="str">
        <x:v>S3 CLOSING_CONFIRMED</x:v>
      </x:c>
      <x:c r="L9" s="11" t="str">
        <x:v>O2 PRINCIPALS_IDENTIFIED</x:v>
      </x:c>
      <x:c r="M9" s="20" t="n">
        <x:v>173000</x:v>
      </x:c>
      <x:c r="N9" s="11" t="str">
        <x:v>63 Bridge St LLC</x:v>
      </x:c>
      <x:c r="O9" s="11" t="str">
        <x:v>LOCAL_PRIVATE</x:v>
      </x:c>
      <x:c r="P9" s="11" t="str">
        <x:v>Eli Cayer / Jason Dionne</x:v>
      </x:c>
      <x:c r="Q9" s="11" t="str">
        <x:v>PARTIAL</x:v>
      </x:c>
      <x:c r="R9" s="11" t="str">
        <x:v>NorthStar Brewpub / local redevelopment</x:v>
      </x:c>
      <x:c r="S9" s="11"/>
      <x:c r="T9" s="11"/>
      <x:c r="U9" s="11" t="str"/>
      <x:c r="V9" s="11" t="str">
        <x:v>TITLE REVIEW NEEDED</x:v>
      </x:c>
      <x:c r="W9" s="11" t="str">
        <x:v>UNASSESSED</x:v>
      </x:c>
      <x:c r="X9" s="11" t="str">
        <x:v>A</x:v>
      </x:c>
      <x:c r="Y9" s="11" t="str">
        <x:v>MEDIUM</x:v>
      </x:c>
      <x:c r="Z9" s="11" t="str">
        <x:v>SUBMITTED</x:v>
      </x:c>
      <x:c r="AA9" s="11" t="str">
        <x:v>2026-09-20</x:v>
      </x:c>
      <x:c r="AB9" s="11" t="str">
        <x:v>Document crowdfunding/equity structure and any lender</x:v>
      </x:c>
      <x:c r="AC9" s="11" t="str"/>
      <x:c r="AD9" s="11" t="str"/>
    </x:row>
    <x:row r="10">
      <x:c r="A10" s="11" t="str">
        <x:v>SHD-009</x:v>
      </x:c>
      <x:c r="B10" s="11" t="str">
        <x:v>Tranche 1</x:v>
      </x:c>
      <x:c r="C10" s="11" t="str">
        <x:v>Big Spring mineral acres</x:v>
      </x:c>
      <x:c r="D10" s="11" t="str">
        <x:v>~133.6 net mineral acres</x:v>
      </x:c>
      <x:c r="E10" s="11" t="str">
        <x:v>Big Spring</x:v>
      </x:c>
      <x:c r="F10" s="11" t="str">
        <x:v>TX</x:v>
      </x:c>
      <x:c r="G10" s="11" t="str">
        <x:v>USA</x:v>
      </x:c>
      <x:c r="H10" s="11" t="str">
        <x:v>Mineral rights</x:v>
      </x:c>
      <x:c r="I10" s="11" t="str">
        <x:v>U.S. Government / GSA</x:v>
      </x:c>
      <x:c r="J10" s="11" t="str">
        <x:v>P6 CLOSED</x:v>
      </x:c>
      <x:c r="K10" s="11" t="str">
        <x:v>S3 CLOSING_CONFIRMED</x:v>
      </x:c>
      <x:c r="L10" s="11" t="str">
        <x:v>O3 SPONSOR_IDENTIFIED</x:v>
      </x:c>
      <x:c r="M10" s="20" t="n">
        <x:v>3900000</x:v>
      </x:c>
      <x:c r="N10" s="11" t="str">
        <x:v>Pransh Minerals LLC</x:v>
      </x:c>
      <x:c r="O10" s="11" t="str">
        <x:v>LOCAL_PRIVATE</x:v>
      </x:c>
      <x:c r="P10" s="11" t="str">
        <x:v>Pransh Group</x:v>
      </x:c>
      <x:c r="Q10" s="11" t="str">
        <x:v>PARTIAL</x:v>
      </x:c>
      <x:c r="R10" s="11" t="str">
        <x:v>Principal investment in real assets</x:v>
      </x:c>
      <x:c r="S10" s="11"/>
      <x:c r="T10" s="11" t="n">
        <x:v>133.6</x:v>
      </x:c>
      <x:c r="U10" s="11" t="str">
        <x:v>MINERAL_RIGHTS</x:v>
      </x:c>
      <x:c r="V10" s="11" t="str">
        <x:v>RIGHTS / RECORDING REVIEW NEEDED</x:v>
      </x:c>
      <x:c r="W10" s="11" t="str">
        <x:v>UNASSESSED</x:v>
      </x:c>
      <x:c r="X10" s="11" t="str">
        <x:v>B</x:v>
      </x:c>
      <x:c r="Y10" s="11" t="str">
        <x:v>VERY HIGH</x:v>
      </x:c>
      <x:c r="Z10" s="11" t="str">
        <x:v>SUBMITTED</x:v>
      </x:c>
      <x:c r="AA10" s="11" t="str">
        <x:v>2026-09-20</x:v>
      </x:c>
      <x:c r="AB10" s="11" t="str">
        <x:v>Obtain deed/assignment image; identify exact mineral interests, burdens and operator rights</x:v>
      </x:c>
      <x:c r="AC10" s="11" t="str"/>
      <x:c r="AD10" s="11" t="str"/>
    </x:row>
    <x:row r="11">
      <x:c r="A11" s="11" t="str">
        <x:v>SHD-010</x:v>
      </x:c>
      <x:c r="B11" s="11" t="str">
        <x:v>Tranche 1</x:v>
      </x:c>
      <x:c r="C11" s="11" t="str">
        <x:v>Chet Holifield Federal Building / Ziggurat</x:v>
      </x:c>
      <x:c r="D11" s="11" t="str">
        <x:v>Laguna Niguel federal complex</x:v>
      </x:c>
      <x:c r="E11" s="11" t="str">
        <x:v>Laguna Niguel</x:v>
      </x:c>
      <x:c r="F11" s="11" t="str">
        <x:v>CA</x:v>
      </x:c>
      <x:c r="G11" s="11" t="str">
        <x:v>USA</x:v>
      </x:c>
      <x:c r="H11" s="11" t="str">
        <x:v>Large federal office complex</x:v>
      </x:c>
      <x:c r="I11" s="11" t="str">
        <x:v>U.S. Government / GSA</x:v>
      </x:c>
      <x:c r="J11" s="11" t="str">
        <x:v>P6 CLOSED</x:v>
      </x:c>
      <x:c r="K11" s="11" t="str">
        <x:v>S3 CLOSING_CONFIRMED</x:v>
      </x:c>
      <x:c r="L11" s="11" t="str">
        <x:v>O3 SPONSOR_IDENTIFIED</x:v>
      </x:c>
      <x:c r="M11" s="20" t="n">
        <x:v>207000000</x:v>
      </x:c>
      <x:c r="N11" s="11" t="str">
        <x:v>Laguna Ridge Health Care Development LLC</x:v>
      </x:c>
      <x:c r="O11" s="11" t="str">
        <x:v>NONPROFIT</x:v>
      </x:c>
      <x:c r="P11" s="11" t="str">
        <x:v>Hoag Memorial Hospital Presbyterian</x:v>
      </x:c>
      <x:c r="Q11" s="11" t="str">
        <x:v>RESOLVED</x:v>
      </x:c>
      <x:c r="R11" s="11" t="str">
        <x:v>Healthcare / redevelopment</x:v>
      </x:c>
      <x:c r="S11" s="11"/>
      <x:c r="T11" s="11"/>
      <x:c r="U11" s="11" t="str"/>
      <x:c r="V11" s="11" t="str">
        <x:v>TITLE / RESTRICTIONS REVIEW NEEDED</x:v>
      </x:c>
      <x:c r="W11" s="11" t="str">
        <x:v>UNASSESSED</x:v>
      </x:c>
      <x:c r="X11" s="11" t="str">
        <x:v>A</x:v>
      </x:c>
      <x:c r="Y11" s="11" t="str">
        <x:v>HIGH</x:v>
      </x:c>
      <x:c r="Z11" s="11" t="str">
        <x:v>SUBMITTED</x:v>
      </x:c>
      <x:c r="AA11" s="11" t="str">
        <x:v>2026-09-20</x:v>
      </x:c>
      <x:c r="AB11" s="11" t="str">
        <x:v>Capture deed, restrictions, environmental obligations and exact consideration above $207M floor</x:v>
      </x:c>
      <x:c r="AC11" s="11" t="str"/>
      <x:c r="AD11" s="11" t="str"/>
    </x:row>
    <x:row r="12">
      <x:c r="A12" s="11" t="str">
        <x:v>SHD-011</x:v>
      </x:c>
      <x:c r="B12" s="11" t="str">
        <x:v>Tranche 1</x:v>
      </x:c>
      <x:c r="C12" s="11" t="str">
        <x:v>Kefauver Federal Building site</x:v>
      </x:c>
      <x:c r="D12" s="11" t="str">
        <x:v>Federal site</x:v>
      </x:c>
      <x:c r="E12" s="11" t="str">
        <x:v>Nashville</x:v>
      </x:c>
      <x:c r="F12" s="11" t="str">
        <x:v>TN</x:v>
      </x:c>
      <x:c r="G12" s="11" t="str">
        <x:v>USA</x:v>
      </x:c>
      <x:c r="H12" s="11" t="str">
        <x:v>Federal real estate</x:v>
      </x:c>
      <x:c r="I12" s="11" t="str">
        <x:v>U.S. Government / GSA</x:v>
      </x:c>
      <x:c r="J12" s="11" t="str">
        <x:v>P6 CLOSED</x:v>
      </x:c>
      <x:c r="K12" s="11" t="str">
        <x:v>S3 CLOSING_CONFIRMED</x:v>
      </x:c>
      <x:c r="L12" s="11" t="str">
        <x:v>O3 SPONSOR_IDENTIFIED</x:v>
      </x:c>
      <x:c r="M12" s="20" t="n">
        <x:v>52030000</x:v>
      </x:c>
      <x:c r="N12" s="11" t="str">
        <x:v>Nashville Convention Center Authority</x:v>
      </x:c>
      <x:c r="O12" s="11" t="str">
        <x:v>PUBLIC</x:v>
      </x:c>
      <x:c r="P12" s="11" t="str">
        <x:v>Nashville Convention Center Authority</x:v>
      </x:c>
      <x:c r="Q12" s="11" t="str">
        <x:v>RESOLVED</x:v>
      </x:c>
      <x:c r="R12" s="11" t="str">
        <x:v>Public / convention district use</x:v>
      </x:c>
      <x:c r="S12" s="11"/>
      <x:c r="T12" s="11"/>
      <x:c r="U12" s="11" t="str"/>
      <x:c r="V12" s="11" t="str">
        <x:v>TITLE REVIEW NEEDED</x:v>
      </x:c>
      <x:c r="W12" s="11" t="str">
        <x:v>UNASSESSED</x:v>
      </x:c>
      <x:c r="X12" s="11" t="str">
        <x:v>A</x:v>
      </x:c>
      <x:c r="Y12" s="11" t="str">
        <x:v>MEDIUM</x:v>
      </x:c>
      <x:c r="Z12" s="11" t="str">
        <x:v>SUBMITTED</x:v>
      </x:c>
      <x:c r="AA12" s="11" t="str">
        <x:v>2026-09-20</x:v>
      </x:c>
      <x:c r="AB12" s="11" t="str">
        <x:v>Capture deed and public-use restrictions</x:v>
      </x:c>
      <x:c r="AC12" s="11" t="str"/>
      <x:c r="AD12" s="11" t="str"/>
    </x:row>
    <x:row r="13">
      <x:c r="A13" s="11" t="str">
        <x:v>SHD-012</x:v>
      </x:c>
      <x:c r="B13" s="11" t="str">
        <x:v>Tranche 1</x:v>
      </x:c>
      <x:c r="C13" s="11" t="str">
        <x:v>Federal Building West + parking parcels</x:v>
      </x:c>
      <x:c r="D13" s="11" t="str">
        <x:v>Federal properties</x:v>
      </x:c>
      <x:c r="E13" s="11" t="str">
        <x:v>San Antonio</x:v>
      </x:c>
      <x:c r="F13" s="11" t="str">
        <x:v>TX</x:v>
      </x:c>
      <x:c r="G13" s="11" t="str">
        <x:v>USA</x:v>
      </x:c>
      <x:c r="H13" s="11" t="str">
        <x:v>Federal office / parking parcels</x:v>
      </x:c>
      <x:c r="I13" s="11" t="str">
        <x:v>U.S. Government / GSA</x:v>
      </x:c>
      <x:c r="J13" s="11" t="str">
        <x:v>P6 CLOSED</x:v>
      </x:c>
      <x:c r="K13" s="11" t="str">
        <x:v>S3 CLOSING_CONFIRMED</x:v>
      </x:c>
      <x:c r="L13" s="11" t="str">
        <x:v>O3 SPONSOR_IDENTIFIED</x:v>
      </x:c>
      <x:c r="M13" s="20" t="n">
        <x:v>30000000</x:v>
      </x:c>
      <x:c r="N13" s="11" t="str">
        <x:v>City of San Antonio</x:v>
      </x:c>
      <x:c r="O13" s="11" t="str">
        <x:v>PUBLIC</x:v>
      </x:c>
      <x:c r="P13" s="11" t="str">
        <x:v>City of San Antonio</x:v>
      </x:c>
      <x:c r="Q13" s="11" t="str">
        <x:v>RESOLVED</x:v>
      </x:c>
      <x:c r="R13" s="11" t="str">
        <x:v>Municipal acquisition with short sale-leaseback</x:v>
      </x:c>
      <x:c r="S13" s="11"/>
      <x:c r="T13" s="11"/>
      <x:c r="U13" s="11" t="str"/>
      <x:c r="V13" s="11" t="str">
        <x:v>TITLE REVIEW NEEDED</x:v>
      </x:c>
      <x:c r="W13" s="11" t="str">
        <x:v>UNASSESSED</x:v>
      </x:c>
      <x:c r="X13" s="11" t="str">
        <x:v>A</x:v>
      </x:c>
      <x:c r="Y13" s="11" t="str">
        <x:v>MEDIUM</x:v>
      </x:c>
      <x:c r="Z13" s="11" t="str">
        <x:v>SUBMITTED</x:v>
      </x:c>
      <x:c r="AA13" s="11" t="str">
        <x:v>2026-09-20</x:v>
      </x:c>
      <x:c r="AB13" s="11" t="str">
        <x:v>Capture deed, sale-leaseback obligations and parcel-level records</x:v>
      </x:c>
      <x:c r="AC13" s="11" t="str"/>
      <x:c r="AD13" s="11" t="str"/>
    </x:row>
    <x:row r="14">
      <x:c r="A14" s="11" t="str">
        <x:v>SHD-013</x:v>
      </x:c>
      <x:c r="B14" s="11" t="str">
        <x:v>Tranche 1</x:v>
      </x:c>
      <x:c r="C14" s="11" t="str">
        <x:v>Former DOL property / Texas State transfer</x:v>
      </x:c>
      <x:c r="D14" s="11" t="str">
        <x:v>Former DOL property</x:v>
      </x:c>
      <x:c r="E14" s="11" t="str">
        <x:v>San Marcos</x:v>
      </x:c>
      <x:c r="F14" s="11" t="str">
        <x:v>TX</x:v>
      </x:c>
      <x:c r="G14" s="11" t="str">
        <x:v>USA</x:v>
      </x:c>
      <x:c r="H14" s="11" t="str">
        <x:v>Federal land</x:v>
      </x:c>
      <x:c r="I14" s="11" t="str">
        <x:v>U.S. Government / GSA</x:v>
      </x:c>
      <x:c r="J14" s="11" t="str">
        <x:v>P6 CLOSED</x:v>
      </x:c>
      <x:c r="K14" s="11" t="str">
        <x:v>S3 CLOSING_CONFIRMED</x:v>
      </x:c>
      <x:c r="L14" s="11" t="str">
        <x:v>O3 SPONSOR_IDENTIFIED</x:v>
      </x:c>
      <x:c r="M14" s="20" t="n">
        <x:v>1680000</x:v>
      </x:c>
      <x:c r="N14" s="11" t="str">
        <x:v>City of San Marcos / Texas State University</x:v>
      </x:c>
      <x:c r="O14" s="11" t="str">
        <x:v>PUBLIC</x:v>
      </x:c>
      <x:c r="P14" s="11" t="str">
        <x:v>City of San Marcos / Texas State University</x:v>
      </x:c>
      <x:c r="Q14" s="11" t="str">
        <x:v>RESOLVED</x:v>
      </x:c>
      <x:c r="R14" s="11" t="str">
        <x:v>Public / university use</x:v>
      </x:c>
      <x:c r="S14" s="11"/>
      <x:c r="T14" s="11" t="n">
        <x:v>75</x:v>
      </x:c>
      <x:c r="U14" s="11" t="str"/>
      <x:c r="V14" s="11" t="str">
        <x:v>TITLE REVIEW NEEDED</x:v>
      </x:c>
      <x:c r="W14" s="11" t="str">
        <x:v>UNASSESSED</x:v>
      </x:c>
      <x:c r="X14" s="11" t="str">
        <x:v>A</x:v>
      </x:c>
      <x:c r="Y14" s="11" t="str">
        <x:v>MEDIUM</x:v>
      </x:c>
      <x:c r="Z14" s="11" t="str">
        <x:v>SUBMITTED</x:v>
      </x:c>
      <x:c r="AA14" s="11" t="str">
        <x:v>2026-09-20</x:v>
      </x:c>
      <x:c r="AB14" s="11" t="str">
        <x:v>Resolve parcel split, title path and use restrictions</x:v>
      </x:c>
      <x:c r="AC14" s="11" t="str"/>
      <x:c r="AD14" s="11" t="str"/>
    </x:row>
    <x:row r="15">
      <x:c r="A15" s="11" t="str">
        <x:v>SHD-014</x:v>
      </x:c>
      <x:c r="B15" s="11" t="str">
        <x:v>Tranche 1</x:v>
      </x:c>
      <x:c r="C15" s="11" t="str">
        <x:v>Phillips Memorial Army Reserve Center</x:v>
      </x:c>
      <x:c r="D15" s="11" t="str">
        <x:v>Former reserve center</x:v>
      </x:c>
      <x:c r="E15" s="11" t="str">
        <x:v>Silver City</x:v>
      </x:c>
      <x:c r="F15" s="11" t="str">
        <x:v>NM</x:v>
      </x:c>
      <x:c r="G15" s="11" t="str">
        <x:v>USA</x:v>
      </x:c>
      <x:c r="H15" s="11" t="str">
        <x:v>Former military property</x:v>
      </x:c>
      <x:c r="I15" s="11" t="str">
        <x:v>U.S. Government / GSA</x:v>
      </x:c>
      <x:c r="J15" s="11" t="str">
        <x:v>P6 CLOSED</x:v>
      </x:c>
      <x:c r="K15" s="11" t="str">
        <x:v>S3 CLOSING_CONFIRMED</x:v>
      </x:c>
      <x:c r="L15" s="11" t="str">
        <x:v>O3 SPONSOR_IDENTIFIED</x:v>
      </x:c>
      <x:c r="M15" s="20" t="n">
        <x:v>340000</x:v>
      </x:c>
      <x:c r="N15" s="11" t="str">
        <x:v>Town of Silver City</x:v>
      </x:c>
      <x:c r="O15" s="11" t="str">
        <x:v>PUBLIC</x:v>
      </x:c>
      <x:c r="P15" s="11" t="str">
        <x:v>Town of Silver City</x:v>
      </x:c>
      <x:c r="Q15" s="11" t="str">
        <x:v>RESOLVED</x:v>
      </x:c>
      <x:c r="R15" s="11" t="str">
        <x:v>Public emergency / housing uses</x:v>
      </x:c>
      <x:c r="S15" s="11"/>
      <x:c r="T15" s="11"/>
      <x:c r="U15" s="11" t="str"/>
      <x:c r="V15" s="11" t="str">
        <x:v>TITLE / ENVIRONMENTAL REVIEW NEEDED</x:v>
      </x:c>
      <x:c r="W15" s="11" t="str">
        <x:v>UNASSESSED</x:v>
      </x:c>
      <x:c r="X15" s="11" t="str">
        <x:v>A</x:v>
      </x:c>
      <x:c r="Y15" s="11" t="str">
        <x:v>MEDIUM</x:v>
      </x:c>
      <x:c r="Z15" s="11" t="str">
        <x:v>SUBMITTED</x:v>
      </x:c>
      <x:c r="AA15" s="11" t="str">
        <x:v>2026-09-20</x:v>
      </x:c>
      <x:c r="AB15" s="11" t="str">
        <x:v>Capture deed, federal-use restrictions and environmental state</x:v>
      </x:c>
      <x:c r="AC15" s="11" t="str"/>
      <x:c r="AD15" s="11" t="str"/>
    </x:row>
    <x:row r="16">
      <x:c r="A16" s="11" t="str">
        <x:v>SHD-015</x:v>
      </x:c>
      <x:c r="B16" s="11" t="str">
        <x:v>Tranche 1</x:v>
      </x:c>
      <x:c r="C16" s="11" t="str">
        <x:v>Federal Executive Institute campus</x:v>
      </x:c>
      <x:c r="D16" s="11" t="str">
        <x:v>Federal Executive Institute</x:v>
      </x:c>
      <x:c r="E16" s="11" t="str">
        <x:v>Charlottesville</x:v>
      </x:c>
      <x:c r="F16" s="11" t="str">
        <x:v>VA</x:v>
      </x:c>
      <x:c r="G16" s="11" t="str">
        <x:v>USA</x:v>
      </x:c>
      <x:c r="H16" s="11" t="str">
        <x:v>Educational campus</x:v>
      </x:c>
      <x:c r="I16" s="11" t="str">
        <x:v>U.S. Government / GSA</x:v>
      </x:c>
      <x:c r="J16" s="11" t="str">
        <x:v>P6 CLOSED</x:v>
      </x:c>
      <x:c r="K16" s="11" t="str">
        <x:v>S3 CLOSING_CONFIRMED</x:v>
      </x:c>
      <x:c r="L16" s="11" t="str">
        <x:v>O3 SPONSOR_IDENTIFIED</x:v>
      </x:c>
      <x:c r="M16" s="20"/>
      <x:c r="N16" s="11" t="str">
        <x:v>University of Virginia</x:v>
      </x:c>
      <x:c r="O16" s="11" t="str">
        <x:v>PUBLIC</x:v>
      </x:c>
      <x:c r="P16" s="11" t="str">
        <x:v>University of Virginia</x:v>
      </x:c>
      <x:c r="Q16" s="11" t="str">
        <x:v>RESOLVED</x:v>
      </x:c>
      <x:c r="R16" s="11" t="str">
        <x:v>Educational public-benefit conveyance</x:v>
      </x:c>
      <x:c r="S16" s="11"/>
      <x:c r="T16" s="11"/>
      <x:c r="U16" s="11" t="str"/>
      <x:c r="V16" s="11" t="str">
        <x:v>TITLE / CONVEYANCE RESTRICTIONS REVIEW NEEDED</x:v>
      </x:c>
      <x:c r="W16" s="11" t="str">
        <x:v>UNASSESSED</x:v>
      </x:c>
      <x:c r="X16" s="11" t="str">
        <x:v>A</x:v>
      </x:c>
      <x:c r="Y16" s="11" t="str">
        <x:v>MEDIUM</x:v>
      </x:c>
      <x:c r="Z16" s="11" t="str">
        <x:v>SUBMITTED</x:v>
      </x:c>
      <x:c r="AA16" s="11" t="str">
        <x:v>2026-09-20</x:v>
      </x:c>
      <x:c r="AB16" s="11" t="str">
        <x:v>Capture conveyance instrument, consideration if any, reversion/public-benefit restrictions</x:v>
      </x:c>
      <x:c r="AC16" s="11" t="str"/>
      <x:c r="AD16" s="11" t="str"/>
    </x:row>
    <x:row r="17">
      <x:c r="A17" s="11" t="str">
        <x:v>SHD-016</x:v>
      </x:c>
      <x:c r="B17" s="11" t="str">
        <x:v>Tranche 1</x:v>
      </x:c>
      <x:c r="C17" s="11" t="str">
        <x:v>Huntsville Courthouse / Post Office</x:v>
      </x:c>
      <x:c r="D17" s="11" t="str">
        <x:v>Historic federal property</x:v>
      </x:c>
      <x:c r="E17" s="11" t="str">
        <x:v>Huntsville</x:v>
      </x:c>
      <x:c r="F17" s="11" t="str">
        <x:v>AL</x:v>
      </x:c>
      <x:c r="G17" s="11" t="str">
        <x:v>USA</x:v>
      </x:c>
      <x:c r="H17" s="11" t="str">
        <x:v>Historic courthouse / post office</x:v>
      </x:c>
      <x:c r="I17" s="11" t="str">
        <x:v>U.S. Government / GSA</x:v>
      </x:c>
      <x:c r="J17" s="11" t="str">
        <x:v>P6 CLOSED</x:v>
      </x:c>
      <x:c r="K17" s="11" t="str">
        <x:v>S3 CLOSING_CONFIRMED</x:v>
      </x:c>
      <x:c r="L17" s="11" t="str">
        <x:v>O3 SPONSOR_IDENTIFIED</x:v>
      </x:c>
      <x:c r="M17" s="20"/>
      <x:c r="N17" s="11" t="str">
        <x:v>City of Huntsville</x:v>
      </x:c>
      <x:c r="O17" s="11" t="str">
        <x:v>PUBLIC</x:v>
      </x:c>
      <x:c r="P17" s="11" t="str">
        <x:v>City of Huntsville</x:v>
      </x:c>
      <x:c r="Q17" s="11" t="str">
        <x:v>RESOLVED</x:v>
      </x:c>
      <x:c r="R17" s="11" t="str">
        <x:v>Municipal / civic use</x:v>
      </x:c>
      <x:c r="S17" s="11"/>
      <x:c r="T17" s="11"/>
      <x:c r="U17" s="11" t="str"/>
      <x:c r="V17" s="11" t="str">
        <x:v>TITLE / CONVEYANCE RESTRICTIONS REVIEW NEEDED</x:v>
      </x:c>
      <x:c r="W17" s="11" t="str">
        <x:v>UNASSESSED</x:v>
      </x:c>
      <x:c r="X17" s="11" t="str">
        <x:v>A</x:v>
      </x:c>
      <x:c r="Y17" s="11" t="str">
        <x:v>MEDIUM</x:v>
      </x:c>
      <x:c r="Z17" s="11" t="str">
        <x:v>SUBMITTED</x:v>
      </x:c>
      <x:c r="AA17" s="11" t="str">
        <x:v>2026-09-20</x:v>
      </x:c>
      <x:c r="AB17" s="11" t="str">
        <x:v>Capture conveyance instrument and restrictions</x:v>
      </x:c>
      <x:c r="AC17" s="11" t="str"/>
      <x:c r="AD17" s="11" t="str"/>
    </x:row>
    <x:row r="18">
      <x:c r="A18" s="11" t="str">
        <x:v>SHD-017</x:v>
      </x:c>
      <x:c r="B18" s="11" t="str">
        <x:v>Tranche 2</x:v>
      </x:c>
      <x:c r="C18" s="11" t="str">
        <x:v>Former NCUA Office Condo — Building 5</x:v>
      </x:c>
      <x:c r="D18" s="11" t="str">
        <x:v>4807 Spicewood Springs Rd, Building 5</x:v>
      </x:c>
      <x:c r="E18" s="11" t="str">
        <x:v>Austin</x:v>
      </x:c>
      <x:c r="F18" s="11" t="str">
        <x:v>TX</x:v>
      </x:c>
      <x:c r="G18" s="11" t="str">
        <x:v>USA</x:v>
      </x:c>
      <x:c r="H18" s="11" t="str">
        <x:v>Office condominium</x:v>
      </x:c>
      <x:c r="I18" s="11" t="str">
        <x:v>U.S. Government / GSA</x:v>
      </x:c>
      <x:c r="J18" s="11" t="str">
        <x:v>P6 CLOSED</x:v>
      </x:c>
      <x:c r="K18" s="11" t="str">
        <x:v>S3 CLOSING_CONFIRMED</x:v>
      </x:c>
      <x:c r="L18" s="11" t="str">
        <x:v>O0 BUYER_UNDISCLOSED</x:v>
      </x:c>
      <x:c r="M18" s="20" t="n">
        <x:v>3490000</x:v>
      </x:c>
      <x:c r="N18" s="11" t="str">
        <x:v>Undisclosed in public auction interface</x:v>
      </x:c>
      <x:c r="O18" s="11" t="str">
        <x:v>SPE_UNRESOLVED</x:v>
      </x:c>
      <x:c r="P18" s="11" t="str"/>
      <x:c r="Q18" s="11" t="str">
        <x:v>UNRESOLVED</x:v>
      </x:c>
      <x:c r="R18" s="11" t="str">
        <x:v>Current occupant publicly identified; ownership not resolved</x:v>
      </x:c>
      <x:c r="S18" s="11"/>
      <x:c r="T18" s="11"/>
      <x:c r="U18" s="11" t="str"/>
      <x:c r="V18" s="11" t="str">
        <x:v>TITLE DEED REQUIRED</x:v>
      </x:c>
      <x:c r="W18" s="11" t="str">
        <x:v>UNASSESSED</x:v>
      </x:c>
      <x:c r="X18" s="11" t="str">
        <x:v>C</x:v>
      </x:c>
      <x:c r="Y18" s="11" t="str">
        <x:v>VERY HIGH</x:v>
      </x:c>
      <x:c r="Z18" s="11" t="str">
        <x:v>SUBMITTED</x:v>
      </x:c>
      <x:c r="AA18" s="11" t="str">
        <x:v>2026-09-20</x:v>
      </x:c>
      <x:c r="AB18" s="11" t="str">
        <x:v>Obtain Travis County deed; identify grantee, principals and lender</x:v>
      </x:c>
      <x:c r="AC18" s="11" t="str"/>
      <x:c r="AD18" s="11" t="str"/>
    </x:row>
    <x:row r="19">
      <x:c r="A19" s="11" t="str">
        <x:v>SHD-018</x:v>
      </x:c>
      <x:c r="B19" s="11" t="str">
        <x:v>Tranche 2</x:v>
      </x:c>
      <x:c r="C19" s="11" t="str">
        <x:v>Former SSA Office</x:v>
      </x:c>
      <x:c r="D19" s="11" t="str">
        <x:v>4020 Durand Ave</x:v>
      </x:c>
      <x:c r="E19" s="11" t="str">
        <x:v>Racine</x:v>
      </x:c>
      <x:c r="F19" s="11" t="str">
        <x:v>WI</x:v>
      </x:c>
      <x:c r="G19" s="11" t="str">
        <x:v>USA</x:v>
      </x:c>
      <x:c r="H19" s="11" t="str">
        <x:v>Office / proposed assisted living</x:v>
      </x:c>
      <x:c r="I19" s="11" t="str">
        <x:v>U.S. Government / GSA</x:v>
      </x:c>
      <x:c r="J19" s="11" t="str">
        <x:v>P6 CLOSED</x:v>
      </x:c>
      <x:c r="K19" s="11" t="str">
        <x:v>S4 DEED_CONFIRMED</x:v>
      </x:c>
      <x:c r="L19" s="11" t="str">
        <x:v>O1 GRANTEE_IDENTIFIED</x:v>
      </x:c>
      <x:c r="M19" s="20" t="n">
        <x:v>625151</x:v>
      </x:c>
      <x:c r="N19" s="11" t="str">
        <x:v>RAMA LLC</x:v>
      </x:c>
      <x:c r="O19" s="11" t="str">
        <x:v>SPE_UNRESOLVED</x:v>
      </x:c>
      <x:c r="P19" s="11" t="str"/>
      <x:c r="Q19" s="11" t="str">
        <x:v>UNRESOLVED</x:v>
      </x:c>
      <x:c r="R19" s="11" t="str">
        <x:v>Offered for resale; assisted-living use proposed</x:v>
      </x:c>
      <x:c r="S19" s="11"/>
      <x:c r="T19" s="11"/>
      <x:c r="U19" s="11" t="str"/>
      <x:c r="V19" s="11" t="str">
        <x:v>TITLE DEED IDENTIFIED; BENEFICIAL OWNER UNRESOLVED</x:v>
      </x:c>
      <x:c r="W19" s="11" t="str">
        <x:v>UNASSESSED</x:v>
      </x:c>
      <x:c r="X19" s="11" t="str">
        <x:v>B</x:v>
      </x:c>
      <x:c r="Y19" s="11" t="str">
        <x:v>VERY HIGH</x:v>
      </x:c>
      <x:c r="Z19" s="11" t="str">
        <x:v>SUBMITTED</x:v>
      </x:c>
      <x:c r="AA19" s="11" t="str">
        <x:v>2026-09-20</x:v>
      </x:c>
      <x:c r="AB19" s="11" t="str">
        <x:v>Resolve RAMA LLC beneficial owner; determine relationship, if any, to Bhupendra Patel / Parit Patel / Aura Senior Living</x:v>
      </x:c>
      <x:c r="AC19" s="11" t="str"/>
      <x:c r="AD19" s="11" t="str"/>
    </x:row>
    <x:row r="20">
      <x:c r="A20" s="11" t="str">
        <x:v>SHD-019</x:v>
      </x:c>
      <x:c r="B20" s="11" t="str">
        <x:v>Tranche 2</x:v>
      </x:c>
      <x:c r="C20" s="11" t="str">
        <x:v>Former Coast Guard Housing</x:v>
      </x:c>
      <x:c r="D20" s="11" t="str">
        <x:v>Jonesport Coast Guard housing</x:v>
      </x:c>
      <x:c r="E20" s="11" t="str">
        <x:v>Jonesport</x:v>
      </x:c>
      <x:c r="F20" s="11" t="str">
        <x:v>ME</x:v>
      </x:c>
      <x:c r="G20" s="11" t="str">
        <x:v>USA</x:v>
      </x:c>
      <x:c r="H20" s="11" t="str">
        <x:v>Residential / federal housing</x:v>
      </x:c>
      <x:c r="I20" s="11" t="str">
        <x:v>U.S. Government / GSA</x:v>
      </x:c>
      <x:c r="J20" s="11" t="str">
        <x:v>P6 CLOSED</x:v>
      </x:c>
      <x:c r="K20" s="11" t="str">
        <x:v>S3 CLOSING_CONFIRMED</x:v>
      </x:c>
      <x:c r="L20" s="11" t="str">
        <x:v>O0 BUYER_UNDISCLOSED</x:v>
      </x:c>
      <x:c r="M20" s="20" t="n">
        <x:v>1175000</x:v>
      </x:c>
      <x:c r="N20" s="11" t="str">
        <x:v>Undisclosed</x:v>
      </x:c>
      <x:c r="O20" s="11" t="str">
        <x:v>SPE_UNRESOLVED</x:v>
      </x:c>
      <x:c r="P20" s="11" t="str"/>
      <x:c r="Q20" s="11" t="str">
        <x:v>UNRESOLVED</x:v>
      </x:c>
      <x:c r="R20" s="11" t="str">
        <x:v>9 homes + buildings</x:v>
      </x:c>
      <x:c r="S20" s="11"/>
      <x:c r="T20" s="11" t="n">
        <x:v>10</x:v>
      </x:c>
      <x:c r="U20" s="11" t="str"/>
      <x:c r="V20" s="11" t="str">
        <x:v>TITLE DEED REQUIRED</x:v>
      </x:c>
      <x:c r="W20" s="11" t="str">
        <x:v>UNASSESSED</x:v>
      </x:c>
      <x:c r="X20" s="11" t="str">
        <x:v>C</x:v>
      </x:c>
      <x:c r="Y20" s="11" t="str">
        <x:v>VERY HIGH</x:v>
      </x:c>
      <x:c r="Z20" s="11" t="str">
        <x:v>SUBMITTED</x:v>
      </x:c>
      <x:c r="AA20" s="11" t="str">
        <x:v>2026-09-20</x:v>
      </x:c>
      <x:c r="AB20" s="11" t="str">
        <x:v>Resolve deed/grantee, lender, restrictions, environmental/shoreline rights</x:v>
      </x:c>
      <x:c r="AC20" s="11" t="str"/>
      <x:c r="AD20" s="11" t="str"/>
    </x:row>
    <x:row r="21">
      <x:c r="A21" s="11" t="str">
        <x:v>SHD-020</x:v>
      </x:c>
      <x:c r="B21" s="11" t="str">
        <x:v>Tranche 2</x:v>
      </x:c>
      <x:c r="C21" s="11" t="str">
        <x:v>Former Atterbury Job Corps parcel</x:v>
      </x:c>
      <x:c r="D21" s="11" t="str">
        <x:v>Former Atterbury Job Corps parcel</x:v>
      </x:c>
      <x:c r="E21" s="11" t="str">
        <x:v>Edinburgh / Nineveh</x:v>
      </x:c>
      <x:c r="F21" s="11" t="str">
        <x:v>IN</x:v>
      </x:c>
      <x:c r="G21" s="11" t="str">
        <x:v>USA</x:v>
      </x:c>
      <x:c r="H21" s="11" t="str">
        <x:v>Large federal land parcel</x:v>
      </x:c>
      <x:c r="I21" s="11" t="str">
        <x:v>U.S. Government / GSA</x:v>
      </x:c>
      <x:c r="J21" s="11" t="str">
        <x:v>P6 CLOSED</x:v>
      </x:c>
      <x:c r="K21" s="11" t="str">
        <x:v>S3 CLOSING_CONFIRMED</x:v>
      </x:c>
      <x:c r="L21" s="11" t="str">
        <x:v>O0 BUYER_UNDISCLOSED</x:v>
      </x:c>
      <x:c r="M21" s="20" t="n">
        <x:v>1642030</x:v>
      </x:c>
      <x:c r="N21" s="11" t="str">
        <x:v>Undisclosed</x:v>
      </x:c>
      <x:c r="O21" s="11" t="str">
        <x:v>SPE_UNRESOLVED</x:v>
      </x:c>
      <x:c r="P21" s="11" t="str"/>
      <x:c r="Q21" s="11" t="str">
        <x:v>UNRESOLVED</x:v>
      </x:c>
      <x:c r="R21" s="11" t="str">
        <x:v>Future use unknown</x:v>
      </x:c>
      <x:c r="S21" s="11"/>
      <x:c r="T21" s="11" t="n">
        <x:v>90.97</x:v>
      </x:c>
      <x:c r="U21" s="11" t="str"/>
      <x:c r="V21" s="11" t="str">
        <x:v>TITLE DEED REQUIRED</x:v>
      </x:c>
      <x:c r="W21" s="11" t="str">
        <x:v>UNASSESSED</x:v>
      </x:c>
      <x:c r="X21" s="11" t="str">
        <x:v>C</x:v>
      </x:c>
      <x:c r="Y21" s="11" t="str">
        <x:v>VERY HIGH</x:v>
      </x:c>
      <x:c r="Z21" s="11" t="str">
        <x:v>SUBMITTED</x:v>
      </x:c>
      <x:c r="AA21" s="11" t="str">
        <x:v>2026-09-20</x:v>
      </x:c>
      <x:c r="AB21" s="11" t="str">
        <x:v>Resolve deed for parcel 41-11-26-014-002.000-020; buyer, lender, rights and environmental state</x:v>
      </x:c>
      <x:c r="AC21" s="11" t="str"/>
      <x:c r="AD21" s="11" t="str"/>
    </x:row>
    <x:row r="22">
      <x:c r="A22" s="11" t="str">
        <x:v>SHD-021</x:v>
      </x:c>
      <x:c r="B22" s="11" t="str">
        <x:v>Tranche 2</x:v>
      </x:c>
      <x:c r="C22" s="11" t="str">
        <x:v>Former Hawkinsville Air Force Space Surveillance Station</x:v>
      </x:c>
      <x:c r="D22" s="11" t="str">
        <x:v>Former Air Force surveillance station</x:v>
      </x:c>
      <x:c r="E22" s="11" t="str">
        <x:v>Hawkinsville</x:v>
      </x:c>
      <x:c r="F22" s="11" t="str">
        <x:v>GA</x:v>
      </x:c>
      <x:c r="G22" s="11" t="str">
        <x:v>USA</x:v>
      </x:c>
      <x:c r="H22" s="11" t="str">
        <x:v>Federal land / former military site</x:v>
      </x:c>
      <x:c r="I22" s="11" t="str">
        <x:v>U.S. Government / GSA</x:v>
      </x:c>
      <x:c r="J22" s="11" t="str">
        <x:v>P6 CLOSED</x:v>
      </x:c>
      <x:c r="K22" s="11" t="str">
        <x:v>S3 CLOSING_CONFIRMED</x:v>
      </x:c>
      <x:c r="L22" s="11" t="str">
        <x:v>O0 BUYER_UNDISCLOSED</x:v>
      </x:c>
      <x:c r="M22" s="20" t="n">
        <x:v>730000</x:v>
      </x:c>
      <x:c r="N22" s="11" t="str">
        <x:v>Undisclosed</x:v>
      </x:c>
      <x:c r="O22" s="11" t="str">
        <x:v>SPE_UNRESOLVED</x:v>
      </x:c>
      <x:c r="P22" s="11" t="str"/>
      <x:c r="Q22" s="11" t="str">
        <x:v>UNRESOLVED</x:v>
      </x:c>
      <x:c r="R22" s="11" t="str">
        <x:v>Unknown</x:v>
      </x:c>
      <x:c r="S22" s="11"/>
      <x:c r="T22" s="11" t="n">
        <x:v>131.8</x:v>
      </x:c>
      <x:c r="U22" s="11" t="str">
        <x:v>WATER_RIGHTS;MINERAL_RIGHTS;OIL_GAS_RIGHTS</x:v>
      </x:c>
      <x:c r="V22" s="11" t="str">
        <x:v>TITLE + RIGHTS DEED REQUIRED</x:v>
      </x:c>
      <x:c r="W22" s="11" t="str">
        <x:v>REVIEW REQUIRED</x:v>
      </x:c>
      <x:c r="X22" s="11" t="str">
        <x:v>C</x:v>
      </x:c>
      <x:c r="Y22" s="11" t="str">
        <x:v>CRITICAL</x:v>
      </x:c>
      <x:c r="Z22" s="11" t="str">
        <x:v>SUBMITTED</x:v>
      </x:c>
      <x:c r="AA22" s="11" t="str">
        <x:v>2026-09-20</x:v>
      </x:c>
      <x:c r="AB22" s="11" t="str">
        <x:v>Resolve buyer and deed; confirm ownership/transfer of water, mineral, oil/gas rights; environmental and decommissioning obligations</x:v>
      </x:c>
      <x:c r="AC22" s="11" t="str"/>
      <x:c r="AD22" s="11" t="str"/>
    </x:row>
    <x:row r="23">
      <x:c r="A23" s="11" t="str">
        <x:v>SHD-022</x:v>
      </x:c>
      <x:c r="B23" s="11" t="str">
        <x:v>Tranche 2</x:v>
      </x:c>
      <x:c r="C23" s="11" t="str">
        <x:v>FAA NDB Site</x:v>
      </x:c>
      <x:c r="D23" s="11" t="str">
        <x:v>FAA NDB parcel</x:v>
      </x:c>
      <x:c r="E23" s="11" t="str">
        <x:v>Helena / East Helena</x:v>
      </x:c>
      <x:c r="F23" s="11" t="str">
        <x:v>MT</x:v>
      </x:c>
      <x:c r="G23" s="11" t="str">
        <x:v>USA</x:v>
      </x:c>
      <x:c r="H23" s="11" t="str">
        <x:v>Federal land / aviation site</x:v>
      </x:c>
      <x:c r="I23" s="11" t="str">
        <x:v>U.S. Government / GSA</x:v>
      </x:c>
      <x:c r="J23" s="11" t="str">
        <x:v>P6 CLOSED</x:v>
      </x:c>
      <x:c r="K23" s="11" t="str">
        <x:v>S3 CLOSING_CONFIRMED</x:v>
      </x:c>
      <x:c r="L23" s="11" t="str">
        <x:v>O0 BUYER_UNDISCLOSED</x:v>
      </x:c>
      <x:c r="M23" s="20" t="n">
        <x:v>625000</x:v>
      </x:c>
      <x:c r="N23" s="11" t="str">
        <x:v>Undisclosed</x:v>
      </x:c>
      <x:c r="O23" s="11" t="str">
        <x:v>SPE_UNRESOLVED</x:v>
      </x:c>
      <x:c r="P23" s="11" t="str"/>
      <x:c r="Q23" s="11" t="str">
        <x:v>UNRESOLVED</x:v>
      </x:c>
      <x:c r="R23" s="11" t="str">
        <x:v>Unknown</x:v>
      </x:c>
      <x:c r="S23" s="11"/>
      <x:c r="T23" s="11" t="n">
        <x:v>9.6</x:v>
      </x:c>
      <x:c r="U23" s="11" t="str"/>
      <x:c r="V23" s="11" t="str">
        <x:v>TITLE DEED REQUIRED</x:v>
      </x:c>
      <x:c r="W23" s="11" t="str">
        <x:v>UNASSESSED</x:v>
      </x:c>
      <x:c r="X23" s="11" t="str">
        <x:v>C</x:v>
      </x:c>
      <x:c r="Y23" s="11" t="str">
        <x:v>HIGH</x:v>
      </x:c>
      <x:c r="Z23" s="11" t="str">
        <x:v>SUBMITTED</x:v>
      </x:c>
      <x:c r="AA23" s="11" t="str">
        <x:v>2026-09-20</x:v>
      </x:c>
      <x:c r="AB23" s="11" t="str">
        <x:v>Resolve deed/grantee, lender, easements and aviation-related restrictions</x:v>
      </x:c>
      <x:c r="AC23" s="11" t="str"/>
      <x:c r="AD23" s="11" t="str"/>
    </x:row>
    <x:row r="24">
      <x:c r="A24" s="11" t="str">
        <x:v>SHD-023</x:v>
      </x:c>
      <x:c r="B24" s="11" t="str">
        <x:v>Tranche 2</x:v>
      </x:c>
      <x:c r="C24" s="11" t="str">
        <x:v>Former U.S. Army Reserve Center</x:v>
      </x:c>
      <x:c r="D24" s="11" t="str">
        <x:v>1411 N Marion Ave</x:v>
      </x:c>
      <x:c r="E24" s="11" t="str">
        <x:v>Washington</x:v>
      </x:c>
      <x:c r="F24" s="11" t="str">
        <x:v>IA</x:v>
      </x:c>
      <x:c r="G24" s="11" t="str">
        <x:v>USA</x:v>
      </x:c>
      <x:c r="H24" s="11" t="str">
        <x:v>Former military / reserve property</x:v>
      </x:c>
      <x:c r="I24" s="11" t="str">
        <x:v>U.S. Government / GSA</x:v>
      </x:c>
      <x:c r="J24" s="11" t="str">
        <x:v>P6 CLOSED</x:v>
      </x:c>
      <x:c r="K24" s="11" t="str">
        <x:v>S3 CLOSING_CONFIRMED</x:v>
      </x:c>
      <x:c r="L24" s="11" t="str">
        <x:v>O0 BUYER_UNDISCLOSED</x:v>
      </x:c>
      <x:c r="M24" s="20" t="n">
        <x:v>610000</x:v>
      </x:c>
      <x:c r="N24" s="11" t="str">
        <x:v>Undisclosed</x:v>
      </x:c>
      <x:c r="O24" s="11" t="str">
        <x:v>SPE_UNRESOLVED</x:v>
      </x:c>
      <x:c r="P24" s="11" t="str"/>
      <x:c r="Q24" s="11" t="str">
        <x:v>UNRESOLVED</x:v>
      </x:c>
      <x:c r="R24" s="11" t="str">
        <x:v>Unknown</x:v>
      </x:c>
      <x:c r="S24" s="11"/>
      <x:c r="T24" s="11"/>
      <x:c r="U24" s="11" t="str"/>
      <x:c r="V24" s="11" t="str">
        <x:v>TITLE TRANSFER INDICATED; OWNER UNRESOLVED</x:v>
      </x:c>
      <x:c r="W24" s="11" t="str">
        <x:v>UNASSESSED</x:v>
      </x:c>
      <x:c r="X24" s="11" t="str">
        <x:v>C</x:v>
      </x:c>
      <x:c r="Y24" s="11" t="str">
        <x:v>HIGH</x:v>
      </x:c>
      <x:c r="Z24" s="11" t="str">
        <x:v>SUBMITTED</x:v>
      </x:c>
      <x:c r="AA24" s="11" t="str">
        <x:v>2026-09-20</x:v>
      </x:c>
      <x:c r="AB24" s="11" t="str">
        <x:v>Resolve June 2025 recorded owner for parcel 11-08-351-002; environmental state and lender</x:v>
      </x:c>
      <x:c r="AC24" s="11" t="str"/>
      <x:c r="AD24" s="11" t="str"/>
    </x:row>
    <x:row r="25">
      <x:c r="A25" s="11" t="str">
        <x:v>SHD-024</x:v>
      </x:c>
      <x:c r="B25" s="11" t="str">
        <x:v>Tranche 2</x:v>
      </x:c>
      <x:c r="C25" s="11" t="str">
        <x:v>Agua Fria parcel</x:v>
      </x:c>
      <x:c r="D25" s="11" t="str">
        <x:v>Federal parcel in floodway</x:v>
      </x:c>
      <x:c r="E25" s="11" t="str">
        <x:v>Peoria</x:v>
      </x:c>
      <x:c r="F25" s="11" t="str">
        <x:v>AZ</x:v>
      </x:c>
      <x:c r="G25" s="11" t="str">
        <x:v>USA</x:v>
      </x:c>
      <x:c r="H25" s="11" t="str">
        <x:v>Land / floodway parcel</x:v>
      </x:c>
      <x:c r="I25" s="11" t="str">
        <x:v>U.S. Government / GSA</x:v>
      </x:c>
      <x:c r="J25" s="11" t="str">
        <x:v>P6 CLOSED</x:v>
      </x:c>
      <x:c r="K25" s="11" t="str">
        <x:v>S3 CLOSING_CONFIRMED</x:v>
      </x:c>
      <x:c r="L25" s="11" t="str">
        <x:v>O0 BUYER_UNDISCLOSED</x:v>
      </x:c>
      <x:c r="M25" s="20" t="n">
        <x:v>425000</x:v>
      </x:c>
      <x:c r="N25" s="11" t="str">
        <x:v>Undisclosed</x:v>
      </x:c>
      <x:c r="O25" s="11" t="str">
        <x:v>SPE_UNRESOLVED</x:v>
      </x:c>
      <x:c r="P25" s="11" t="str"/>
      <x:c r="Q25" s="11" t="str">
        <x:v>UNRESOLVED</x:v>
      </x:c>
      <x:c r="R25" s="11" t="str">
        <x:v>Unknown</x:v>
      </x:c>
      <x:c r="S25" s="11"/>
      <x:c r="T25" s="11" t="n">
        <x:v>130.96</x:v>
      </x:c>
      <x:c r="U25" s="11" t="str">
        <x:v>FLOODWAY</x:v>
      </x:c>
      <x:c r="V25" s="11" t="str">
        <x:v>TITLE DEED REQUIRED</x:v>
      </x:c>
      <x:c r="W25" s="11" t="str">
        <x:v>REVIEW REQUIRED</x:v>
      </x:c>
      <x:c r="X25" s="11" t="str">
        <x:v>C</x:v>
      </x:c>
      <x:c r="Y25" s="11" t="str">
        <x:v>HIGH</x:v>
      </x:c>
      <x:c r="Z25" s="11" t="str">
        <x:v>SUBMITTED</x:v>
      </x:c>
      <x:c r="AA25" s="11" t="str">
        <x:v>2026-09-20</x:v>
      </x:c>
      <x:c r="AB25" s="11" t="str">
        <x:v>Resolve deed/grantee, floodway restrictions, water/drainage rights and lender</x:v>
      </x:c>
      <x:c r="AC25" s="11" t="str"/>
      <x:c r="AD25" s="11" t="str"/>
    </x:row>
    <x:row r="26">
      <x:c r="A26" s="11" t="str">
        <x:v>SHD-025</x:v>
      </x:c>
      <x:c r="B26" s="11" t="str">
        <x:v>Tranche 2</x:v>
      </x:c>
      <x:c r="C26" s="11" t="str">
        <x:v>Teeds Grove repeater site</x:v>
      </x:c>
      <x:c r="D26" s="11" t="str">
        <x:v>Near 4480 115th St</x:v>
      </x:c>
      <x:c r="E26" s="11" t="str">
        <x:v>Teeds Grove</x:v>
      </x:c>
      <x:c r="F26" s="11" t="str">
        <x:v>IA</x:v>
      </x:c>
      <x:c r="G26" s="11" t="str">
        <x:v>USA</x:v>
      </x:c>
      <x:c r="H26" s="11" t="str">
        <x:v>Federal communications/repeater site</x:v>
      </x:c>
      <x:c r="I26" s="11" t="str">
        <x:v>U.S. Government / GSA</x:v>
      </x:c>
      <x:c r="J26" s="11" t="str">
        <x:v>P6 CLOSED</x:v>
      </x:c>
      <x:c r="K26" s="11" t="str">
        <x:v>S3 CLOSING_CONFIRMED</x:v>
      </x:c>
      <x:c r="L26" s="11" t="str">
        <x:v>O0 BUYER_UNDISCLOSED</x:v>
      </x:c>
      <x:c r="M26" s="20" t="n">
        <x:v>83500</x:v>
      </x:c>
      <x:c r="N26" s="11" t="str">
        <x:v>Undisclosed</x:v>
      </x:c>
      <x:c r="O26" s="11" t="str">
        <x:v>SPE_UNRESOLVED</x:v>
      </x:c>
      <x:c r="P26" s="11" t="str"/>
      <x:c r="Q26" s="11" t="str">
        <x:v>UNRESOLVED</x:v>
      </x:c>
      <x:c r="R26" s="11" t="str">
        <x:v>Unknown</x:v>
      </x:c>
      <x:c r="S26" s="11"/>
      <x:c r="T26" s="11" t="n">
        <x:v>4.05</x:v>
      </x:c>
      <x:c r="U26" s="11" t="str"/>
      <x:c r="V26" s="11" t="str">
        <x:v>TITLE DEED REQUIRED</x:v>
      </x:c>
      <x:c r="W26" s="11" t="str">
        <x:v>UNASSESSED</x:v>
      </x:c>
      <x:c r="X26" s="11" t="str">
        <x:v>C</x:v>
      </x:c>
      <x:c r="Y26" s="11" t="str">
        <x:v>MEDIUM</x:v>
      </x:c>
      <x:c r="Z26" s="11" t="str">
        <x:v>SUBMITTED</x:v>
      </x:c>
      <x:c r="AA26" s="11" t="str">
        <x:v>2026-09-20</x:v>
      </x:c>
      <x:c r="AB26" s="11" t="str">
        <x:v>Resolve deed/grantee, easements, utilities and any communications infrastructure obligations</x:v>
      </x:c>
      <x:c r="AC26" s="11" t="str"/>
      <x:c r="AD26" s="11" t="str"/>
    </x:row>
    <x:row r="27">
      <x:c r="A27" s="11" t="str">
        <x:v>SHD-026</x:v>
      </x:c>
      <x:c r="B27" s="11" t="str">
        <x:v>Tranche 3</x:v>
      </x:c>
      <x:c r="C27" s="11" t="str">
        <x:v>Former Navy &amp; Marine Corps Reserve Center</x:v>
      </x:c>
      <x:c r="D27" s="11" t="str">
        <x:v>1863 Monroe Ave NW</x:v>
      </x:c>
      <x:c r="E27" s="11" t="str">
        <x:v>Grand Rapids</x:v>
      </x:c>
      <x:c r="F27" s="11" t="str">
        <x:v>MI</x:v>
      </x:c>
      <x:c r="G27" s="11" t="str">
        <x:v>USA</x:v>
      </x:c>
      <x:c r="H27" s="11" t="str">
        <x:v>Former military / industrial property</x:v>
      </x:c>
      <x:c r="I27" s="11" t="str">
        <x:v>U.S. Government / GSA</x:v>
      </x:c>
      <x:c r="J27" s="11" t="str">
        <x:v>P4 HIGH_BIDDER</x:v>
      </x:c>
      <x:c r="K27" s="11" t="str">
        <x:v>S1 AUCTION_COMPLETED</x:v>
      </x:c>
      <x:c r="L27" s="11" t="str">
        <x:v>O3 SPONSOR_IDENTIFIED</x:v>
      </x:c>
      <x:c r="M27" s="20"/>
      <x:c r="N27" s="11" t="str">
        <x:v>Morrison Industrial Equipment Co.</x:v>
      </x:c>
      <x:c r="O27" s="11" t="str">
        <x:v>LOCAL_PRIVATE</x:v>
      </x:c>
      <x:c r="P27" s="11" t="str">
        <x:v>Morrison Industrial Equipment Co.</x:v>
      </x:c>
      <x:c r="Q27" s="11" t="str">
        <x:v>PARTIAL</x:v>
      </x:c>
      <x:c r="R27" s="11" t="str">
        <x:v>Strategic adjacent operating-company use</x:v>
      </x:c>
      <x:c r="S27" s="11" t="n">
        <x:v>48128</x:v>
      </x:c>
      <x:c r="T27" s="11" t="n">
        <x:v>3.47</x:v>
      </x:c>
      <x:c r="U27" s="11" t="str"/>
      <x:c r="V27" s="11" t="str">
        <x:v>TRANSFER NOT CONFIRMED</x:v>
      </x:c>
      <x:c r="W27" s="11" t="str">
        <x:v>UNASSESSED</x:v>
      </x:c>
      <x:c r="X27" s="11" t="str">
        <x:v>A</x:v>
      </x:c>
      <x:c r="Y27" s="11" t="str">
        <x:v>HIGH</x:v>
      </x:c>
      <x:c r="Z27" s="11" t="str">
        <x:v>SOURCE_VERIFIED</x:v>
      </x:c>
      <x:c r="AA27" s="11" t="str">
        <x:v>2026-09-20</x:v>
      </x:c>
      <x:c r="AB27" s="11" t="str">
        <x:v>Confirm federal acceptance, closing, deed and financing</x:v>
      </x:c>
      <x:c r="AC27" s="11" t="str">
        <x:v>https://www.aol.com/articles/neighboring-business-makes-top-bid-150509000.html</x:v>
      </x:c>
      <x:c r="AD27" s="11" t="str"/>
    </x:row>
    <x:row r="28">
      <x:c r="A28" s="11" t="str">
        <x:v>SHD-027</x:v>
      </x:c>
      <x:c r="B28" s="11" t="str">
        <x:v>Tranche 3</x:v>
      </x:c>
      <x:c r="C28" s="11" t="str">
        <x:v>Montpelier Federal Building</x:v>
      </x:c>
      <x:c r="D28" s="11" t="str">
        <x:v>87 State Street</x:v>
      </x:c>
      <x:c r="E28" s="11" t="str">
        <x:v>Montpelier</x:v>
      </x:c>
      <x:c r="F28" s="11" t="str">
        <x:v>VT</x:v>
      </x:c>
      <x:c r="G28" s="11" t="str">
        <x:v>USA</x:v>
      </x:c>
      <x:c r="H28" s="11" t="str">
        <x:v>Federal building / historic urban property</x:v>
      </x:c>
      <x:c r="I28" s="11" t="str">
        <x:v>U.S. Government / GSA</x:v>
      </x:c>
      <x:c r="J28" s="11" t="str">
        <x:v>P4 HIGH_BIDDER</x:v>
      </x:c>
      <x:c r="K28" s="11" t="str">
        <x:v>S1 AUCTION_COMPLETED</x:v>
      </x:c>
      <x:c r="L28" s="11" t="str">
        <x:v>O3 SPONSOR_IDENTIFIED</x:v>
      </x:c>
      <x:c r="M28" s="20"/>
      <x:c r="N28" s="11" t="str">
        <x:v>87 State Street Local Development Corporation</x:v>
      </x:c>
      <x:c r="O28" s="11" t="str">
        <x:v>NONPROFIT</x:v>
      </x:c>
      <x:c r="P28" s="11" t="str">
        <x:v>Foundation for a Resilient Montpelier / local coalition</x:v>
      </x:c>
      <x:c r="Q28" s="11" t="str">
        <x:v>PARTIAL</x:v>
      </x:c>
      <x:c r="R28" s="11" t="str">
        <x:v>Housing, commercial, remediation, flood-resilient redevelopment</x:v>
      </x:c>
      <x:c r="S28" s="11" t="n">
        <x:v>70000</x:v>
      </x:c>
      <x:c r="T28" s="11" t="n">
        <x:v>1.6</x:v>
      </x:c>
      <x:c r="U28" s="11" t="str"/>
      <x:c r="V28" s="11" t="str">
        <x:v>NO TRANSFER — BID REJECTED</x:v>
      </x:c>
      <x:c r="W28" s="11" t="str">
        <x:v>KNOWN ENVIRONMENTAL / PCB + FLOOD ISSUES</x:v>
      </x:c>
      <x:c r="X28" s="11" t="str">
        <x:v>A</x:v>
      </x:c>
      <x:c r="Y28" s="11" t="str">
        <x:v>VERY HIGH</x:v>
      </x:c>
      <x:c r="Z28" s="11" t="str">
        <x:v>SOURCE_VERIFIED</x:v>
      </x:c>
      <x:c r="AA28" s="11" t="str">
        <x:v>2026-09-20</x:v>
      </x:c>
      <x:c r="AB28" s="11" t="str">
        <x:v>Track relisting/next disposition path; capture environmental obligations and federal valuation rationale</x:v>
      </x:c>
      <x:c r="AC28" s="11" t="str">
        <x:v>https://vtdigger.org/2026/09/18/federal-government-rejects-winning-bid-for-montpeliers-former-post-office/</x:v>
      </x:c>
      <x:c r="AD28" s="11" t="str">
        <x:v>https://www.sevendaysvt.com/news/news-news/federal-government-rejects-montpelier-groups-bid-for-former-post-office/</x:v>
      </x:c>
    </x:row>
    <x:row r="29">
      <x:c r="A29" s="11" t="str">
        <x:v>SHD-028</x:v>
      </x:c>
      <x:c r="B29" s="11" t="str">
        <x:v>Tranche 3</x:v>
      </x:c>
      <x:c r="C29" s="11" t="str">
        <x:v>The Depot at Somerville</x:v>
      </x:c>
      <x:c r="D29" s="11" t="str">
        <x:v>Roycefield Road</x:v>
      </x:c>
      <x:c r="E29" s="11" t="str">
        <x:v>Hillsborough Township / Somerville</x:v>
      </x:c>
      <x:c r="F29" s="11" t="str">
        <x:v>NJ</x:v>
      </x:c>
      <x:c r="G29" s="11" t="str">
        <x:v>USA</x:v>
      </x:c>
      <x:c r="H29" s="11" t="str">
        <x:v>Industrial / warehouse campus</x:v>
      </x:c>
      <x:c r="I29" s="11" t="str">
        <x:v>U.S. Government / GSA</x:v>
      </x:c>
      <x:c r="J29" s="11" t="str">
        <x:v>P5 UNDER_CONTRACT</x:v>
      </x:c>
      <x:c r="K29" s="11" t="str">
        <x:v>S2 AWARD_ANNOUNCED</x:v>
      </x:c>
      <x:c r="L29" s="11" t="str">
        <x:v>O0 BUYER_UNDISCLOSED</x:v>
      </x:c>
      <x:c r="M29" s="20"/>
      <x:c r="N29" s="11" t="str">
        <x:v>Undisclosed prospective buyer</x:v>
      </x:c>
      <x:c r="O29" s="11" t="str">
        <x:v>SPE_UNRESOLVED</x:v>
      </x:c>
      <x:c r="P29" s="11" t="str"/>
      <x:c r="Q29" s="11" t="str">
        <x:v>UNRESOLVED</x:v>
      </x:c>
      <x:c r="R29" s="11" t="str">
        <x:v>Industrial / logistics potential</x:v>
      </x:c>
      <x:c r="S29" s="11" t="n">
        <x:v>815469</x:v>
      </x:c>
      <x:c r="T29" s="11" t="n">
        <x:v>83.5</x:v>
      </x:c>
      <x:c r="U29" s="11" t="str"/>
      <x:c r="V29" s="11" t="str">
        <x:v>TRANSFER PENDING</x:v>
      </x:c>
      <x:c r="W29" s="11" t="str">
        <x:v>UNASSESSED</x:v>
      </x:c>
      <x:c r="X29" s="11" t="str">
        <x:v>A</x:v>
      </x:c>
      <x:c r="Y29" s="11" t="str">
        <x:v>CRITICAL</x:v>
      </x:c>
      <x:c r="Z29" s="11" t="str">
        <x:v>SOURCE_VERIFIED</x:v>
      </x:c>
      <x:c r="AA29" s="11" t="str">
        <x:v>2026-09-20</x:v>
      </x:c>
      <x:c r="AB29" s="11" t="str">
        <x:v>Resolve buyer immediately when award/closing records appear; identify lender and ultimate capital</x:v>
      </x:c>
      <x:c r="AC29" s="11" t="str">
        <x:v>https://www.gsa.gov/real-estate/real-property-disposition/assets-identified-for-accelerated-disposition</x:v>
      </x:c>
      <x:c r="AD29" s="11" t="str">
        <x:v>https://re-nj.com/flipbook/06_v2-2026/files/basic-html/page25.html</x:v>
      </x:c>
    </x:row>
    <x:row r="30">
      <x:c r="A30" s="11" t="str">
        <x:v>SHD-029</x:v>
      </x:c>
      <x:c r="B30" s="11" t="str">
        <x:v>Tranche 3</x:v>
      </x:c>
      <x:c r="C30" s="11" t="str">
        <x:v>Spring Street Courthouse</x:v>
      </x:c>
      <x:c r="D30" s="11" t="str">
        <x:v>312 N Spring Street</x:v>
      </x:c>
      <x:c r="E30" s="11" t="str">
        <x:v>Los Angeles</x:v>
      </x:c>
      <x:c r="F30" s="11" t="str">
        <x:v>CA</x:v>
      </x:c>
      <x:c r="G30" s="11" t="str">
        <x:v>USA</x:v>
      </x:c>
      <x:c r="H30" s="11" t="str">
        <x:v>Federal courthouse / office</x:v>
      </x:c>
      <x:c r="I30" s="11" t="str">
        <x:v>U.S. Government / GSA</x:v>
      </x:c>
      <x:c r="J30" s="11" t="str">
        <x:v>P2 MARKETED</x:v>
      </x:c>
      <x:c r="K30" s="11" t="str">
        <x:v>S0 LISTED</x:v>
      </x:c>
      <x:c r="L30" s="11" t="str">
        <x:v>O0 BUYER_UNDISCLOSED</x:v>
      </x:c>
      <x:c r="M30" s="20"/>
      <x:c r="N30" s="11" t="str"/>
      <x:c r="O30" s="11" t="str"/>
      <x:c r="P30" s="11" t="str"/>
      <x:c r="Q30" s="11" t="str">
        <x:v>UNRESOLVED</x:v>
      </x:c>
      <x:c r="R30" s="11" t="str">
        <x:v>People's Public Trust reference asset / adaptive reuse candidate</x:v>
      </x:c>
      <x:c r="S30" s="11" t="n">
        <x:v>751791</x:v>
      </x:c>
      <x:c r="T30" s="11"/>
      <x:c r="U30" s="11" t="str">
        <x:v>HISTORIC / COURT USE</x:v>
      </x:c>
      <x:c r="V30" s="11" t="str">
        <x:v>FEDERAL TITLE — DISPOSITION REVIEW</x:v>
      </x:c>
      <x:c r="W30" s="11" t="str">
        <x:v>UNASSESSED</x:v>
      </x:c>
      <x:c r="X30" s="11" t="str">
        <x:v>A</x:v>
      </x:c>
      <x:c r="Y30" s="11" t="str">
        <x:v>CRITICAL</x:v>
      </x:c>
      <x:c r="Z30" s="11" t="str">
        <x:v>SOURCE_VERIFIED</x:v>
      </x:c>
      <x:c r="AA30" s="11" t="str">
        <x:v>2026-09-20</x:v>
      </x:c>
      <x:c r="AB30" s="11" t="str">
        <x:v>Build complete TitleChain Asset State; parcel/title, restrictions, court occupancy, environmental, maintenance and disposition authority</x:v>
      </x:c>
      <x:c r="AC30" s="11" t="str">
        <x:v>https://www.gsa.gov/real-estate/real-property-disposition/assets-identified-for-accelerated-disposition</x:v>
      </x:c>
      <x:c r="AD30" s="11" t="str">
        <x:v>https://www.gsa.gov/about-gsa/newsroom/congressional-testimony/commissioner-heller-before-ti-12112025</x:v>
      </x:c>
    </x:row>
    <x:row r="31">
      <x:c r="A31" s="11" t="str">
        <x:v>SHD-030</x:v>
      </x:c>
      <x:c r="B31" s="11" t="str">
        <x:v>Tranche 3</x:v>
      </x:c>
      <x:c r="C31" s="11" t="str">
        <x:v>Fort Worth Federal Center</x:v>
      </x:c>
      <x:c r="D31" s="11" t="str">
        <x:v>501 W Felix Street</x:v>
      </x:c>
      <x:c r="E31" s="11" t="str">
        <x:v>Fort Worth</x:v>
      </x:c>
      <x:c r="F31" s="11" t="str">
        <x:v>TX</x:v>
      </x:c>
      <x:c r="G31" s="11" t="str">
        <x:v>USA</x:v>
      </x:c>
      <x:c r="H31" s="11" t="str">
        <x:v>Federal office / warehouse / service campus</x:v>
      </x:c>
      <x:c r="I31" s="11" t="str">
        <x:v>U.S. Government / GSA</x:v>
      </x:c>
      <x:c r="J31" s="11" t="str">
        <x:v>P2 MARKETED</x:v>
      </x:c>
      <x:c r="K31" s="11" t="str">
        <x:v>S0 LISTED</x:v>
      </x:c>
      <x:c r="L31" s="11" t="str">
        <x:v>O0 BUYER_UNDISCLOSED</x:v>
      </x:c>
      <x:c r="M31" s="20"/>
      <x:c r="N31" s="11" t="str"/>
      <x:c r="O31" s="11" t="str"/>
      <x:c r="P31" s="11" t="str"/>
      <x:c r="Q31" s="11" t="str">
        <x:v>UNRESOLVED</x:v>
      </x:c>
      <x:c r="R31" s="11" t="str">
        <x:v>Disposition / redevelopment opportunity</x:v>
      </x:c>
      <x:c r="S31" s="11" t="n">
        <x:v>893565</x:v>
      </x:c>
      <x:c r="T31" s="11"/>
      <x:c r="U31" s="11" t="str"/>
      <x:c r="V31" s="11" t="str">
        <x:v>FEDERAL TITLE — DISPOSITION REVIEW</x:v>
      </x:c>
      <x:c r="W31" s="11" t="str">
        <x:v>UNASSESSED</x:v>
      </x:c>
      <x:c r="X31" s="11" t="str">
        <x:v>A</x:v>
      </x:c>
      <x:c r="Y31" s="11" t="str">
        <x:v>VERY HIGH</x:v>
      </x:c>
      <x:c r="Z31" s="11" t="str">
        <x:v>SOURCE_VERIFIED</x:v>
      </x:c>
      <x:c r="AA31" s="11" t="str">
        <x:v>2026-09-20</x:v>
      </x:c>
      <x:c r="AB31" s="11" t="str">
        <x:v>TitleChain Asset State, environmental history, disposition path and public-benefit feasibility</x:v>
      </x:c>
      <x:c r="AC31" s="11" t="str">
        <x:v>https://www.gsa.gov/real-estate/real-property-disposition/assets-identified-for-accelerated-disposition</x:v>
      </x:c>
      <x:c r="AD31" s="11" t="str"/>
    </x:row>
    <x:row r="32">
      <x:c r="A32" s="11" t="str">
        <x:v>SHD-031</x:v>
      </x:c>
      <x:c r="B32" s="11" t="str">
        <x:v>Tranche 3</x:v>
      </x:c>
      <x:c r="C32" s="11" t="str">
        <x:v>Fritz G. Lanham Federal Building</x:v>
      </x:c>
      <x:c r="D32" s="11" t="str">
        <x:v>819 Taylor Street</x:v>
      </x:c>
      <x:c r="E32" s="11" t="str">
        <x:v>Fort Worth</x:v>
      </x:c>
      <x:c r="F32" s="11" t="str">
        <x:v>TX</x:v>
      </x:c>
      <x:c r="G32" s="11" t="str">
        <x:v>USA</x:v>
      </x:c>
      <x:c r="H32" s="11" t="str">
        <x:v>Federal office</x:v>
      </x:c>
      <x:c r="I32" s="11" t="str">
        <x:v>U.S. Government / GSA</x:v>
      </x:c>
      <x:c r="J32" s="11" t="str">
        <x:v>P1 REVIEW</x:v>
      </x:c>
      <x:c r="K32" s="11" t="str">
        <x:v>S0 LISTED</x:v>
      </x:c>
      <x:c r="L32" s="11" t="str">
        <x:v>O0 BUYER_UNDISCLOSED</x:v>
      </x:c>
      <x:c r="M32" s="20"/>
      <x:c r="N32" s="11" t="str"/>
      <x:c r="O32" s="11" t="str"/>
      <x:c r="P32" s="11" t="str"/>
      <x:c r="Q32" s="11" t="str">
        <x:v>UNRESOLVED</x:v>
      </x:c>
      <x:c r="R32" s="11" t="str">
        <x:v>Disposition / redevelopment opportunity</x:v>
      </x:c>
      <x:c r="S32" s="11" t="n">
        <x:v>669264</x:v>
      </x:c>
      <x:c r="T32" s="11"/>
      <x:c r="U32" s="11" t="str"/>
      <x:c r="V32" s="11" t="str">
        <x:v>FEDERAL TITLE — DISPOSITION REVIEW</x:v>
      </x:c>
      <x:c r="W32" s="11" t="str">
        <x:v>UNASSESSED</x:v>
      </x:c>
      <x:c r="X32" s="11" t="str">
        <x:v>A</x:v>
      </x:c>
      <x:c r="Y32" s="11" t="str">
        <x:v>VERY HIGH</x:v>
      </x:c>
      <x:c r="Z32" s="11" t="str">
        <x:v>SOURCE_VERIFIED</x:v>
      </x:c>
      <x:c r="AA32" s="11" t="str">
        <x:v>2026-09-20</x:v>
      </x:c>
      <x:c r="AB32" s="11" t="str">
        <x:v>TitleChain Asset State, federal occupancy/relocation, environmental and capital requirements</x:v>
      </x:c>
      <x:c r="AC32" s="11" t="str">
        <x:v>https://www.gsa.gov/about-gsa/newsroom/news-releases/gsa-saves-more-than-348-million-with-downtown-fort-worth-dispositions-09102026</x:v>
      </x:c>
      <x:c r="AD32" s="11" t="str"/>
    </x:row>
    <x:row r="33">
      <x:c r="A33" s="11" t="str">
        <x:v>SHD-032</x:v>
      </x:c>
      <x:c r="B33" s="11" t="str">
        <x:v>Tranche 3</x:v>
      </x:c>
      <x:c r="C33" s="11" t="str">
        <x:v>Federal Parking Garage</x:v>
      </x:c>
      <x:c r="D33" s="11" t="str">
        <x:v>401 Texas Street</x:v>
      </x:c>
      <x:c r="E33" s="11" t="str">
        <x:v>Fort Worth</x:v>
      </x:c>
      <x:c r="F33" s="11" t="str">
        <x:v>TX</x:v>
      </x:c>
      <x:c r="G33" s="11" t="str">
        <x:v>USA</x:v>
      </x:c>
      <x:c r="H33" s="11" t="str">
        <x:v>Federal parking garage</x:v>
      </x:c>
      <x:c r="I33" s="11" t="str">
        <x:v>U.S. Government / GSA</x:v>
      </x:c>
      <x:c r="J33" s="11" t="str">
        <x:v>P1 REVIEW</x:v>
      </x:c>
      <x:c r="K33" s="11" t="str">
        <x:v>S0 LISTED</x:v>
      </x:c>
      <x:c r="L33" s="11" t="str">
        <x:v>O0 BUYER_UNDISCLOSED</x:v>
      </x:c>
      <x:c r="M33" s="20"/>
      <x:c r="N33" s="11" t="str"/>
      <x:c r="O33" s="11" t="str"/>
      <x:c r="P33" s="11" t="str"/>
      <x:c r="Q33" s="11" t="str">
        <x:v>UNRESOLVED</x:v>
      </x:c>
      <x:c r="R33" s="11" t="str">
        <x:v>Disposition / redevelopment opportunity</x:v>
      </x:c>
      <x:c r="S33" s="11" t="n">
        <x:v>490101</x:v>
      </x:c>
      <x:c r="T33" s="11"/>
      <x:c r="U33" s="11" t="str"/>
      <x:c r="V33" s="11" t="str">
        <x:v>FEDERAL TITLE — DISPOSITION REVIEW</x:v>
      </x:c>
      <x:c r="W33" s="11" t="str">
        <x:v>UNASSESSED</x:v>
      </x:c>
      <x:c r="X33" s="11" t="str">
        <x:v>A</x:v>
      </x:c>
      <x:c r="Y33" s="11" t="str">
        <x:v>HIGH</x:v>
      </x:c>
      <x:c r="Z33" s="11" t="str">
        <x:v>SOURCE_VERIFIED</x:v>
      </x:c>
      <x:c r="AA33" s="11" t="str">
        <x:v>2026-09-20</x:v>
      </x:c>
      <x:c r="AB33" s="11" t="str">
        <x:v>Determine whether garage transfers separately or as linked asset; title/air rights/development rights</x:v>
      </x:c>
      <x:c r="AC33" s="11" t="str">
        <x:v>https://www.gsa.gov/about-gsa/newsroom/news-releases/gsa-saves-more-than-348-million-with-downtown-fort-worth-dispositions-09102026</x:v>
      </x:c>
      <x:c r="AD33" s="11" t="str"/>
    </x:row>
    <x:row r="34">
      <x:c r="A34" s="11" t="str">
        <x:v>SHD-033</x:v>
      </x:c>
      <x:c r="B34" s="11" t="str">
        <x:v>Tranche 3</x:v>
      </x:c>
      <x:c r="C34" s="11" t="str">
        <x:v>Anthony J. Celebrezze Federal Building</x:v>
      </x:c>
      <x:c r="D34" s="11" t="str">
        <x:v>1240 E 9th Street</x:v>
      </x:c>
      <x:c r="E34" s="11" t="str">
        <x:v>Cleveland</x:v>
      </x:c>
      <x:c r="F34" s="11" t="str">
        <x:v>OH</x:v>
      </x:c>
      <x:c r="G34" s="11" t="str">
        <x:v>USA</x:v>
      </x:c>
      <x:c r="H34" s="11" t="str">
        <x:v>Federal office</x:v>
      </x:c>
      <x:c r="I34" s="11" t="str">
        <x:v>U.S. Government / GSA</x:v>
      </x:c>
      <x:c r="J34" s="11" t="str">
        <x:v>P2 MARKETED</x:v>
      </x:c>
      <x:c r="K34" s="11" t="str">
        <x:v>S0 LISTED</x:v>
      </x:c>
      <x:c r="L34" s="11" t="str">
        <x:v>O0 BUYER_UNDISCLOSED</x:v>
      </x:c>
      <x:c r="M34" s="20"/>
      <x:c r="N34" s="11" t="str"/>
      <x:c r="O34" s="11" t="str"/>
      <x:c r="P34" s="11" t="str"/>
      <x:c r="Q34" s="11" t="str">
        <x:v>UNRESOLVED</x:v>
      </x:c>
      <x:c r="R34" s="11" t="str">
        <x:v>Large-scale adaptive reuse / redevelopment opportunity</x:v>
      </x:c>
      <x:c r="S34" s="11" t="n">
        <x:v>1194675</x:v>
      </x:c>
      <x:c r="T34" s="11"/>
      <x:c r="U34" s="11" t="str"/>
      <x:c r="V34" s="11" t="str">
        <x:v>FEDERAL TITLE — DISPOSITION REVIEW</x:v>
      </x:c>
      <x:c r="W34" s="11" t="str">
        <x:v>UNASSESSED</x:v>
      </x:c>
      <x:c r="X34" s="11" t="str">
        <x:v>A</x:v>
      </x:c>
      <x:c r="Y34" s="11" t="str">
        <x:v>VERY HIGH</x:v>
      </x:c>
      <x:c r="Z34" s="11" t="str">
        <x:v>SOURCE_VERIFIED</x:v>
      </x:c>
      <x:c r="AA34" s="11" t="str">
        <x:v>2026-09-20</x:v>
      </x:c>
      <x:c r="AB34" s="11" t="str">
        <x:v>Build TitleChain Asset State, occupancy, title restrictions, redevelopment feasibility and capital requirements</x:v>
      </x:c>
      <x:c r="AC34" s="11" t="str">
        <x:v>https://www.gsa.gov/real-estate/real-property-disposition/assets-identified-for-accelerated-disposition</x:v>
      </x:c>
      <x:c r="AD34" s="11" t="str">
        <x:v>https://www.gsa.gov/about-gsa/newsroom/news-releases/gsa-announces-accelerated-disposition-of-celebrezze-federal-building-05012025</x:v>
      </x:c>
    </x:row>
    <x:row r="35">
      <x:c r="A35" s="11" t="str">
        <x:v>SHD-034</x:v>
      </x:c>
      <x:c r="B35" s="11" t="str">
        <x:v>Tranche 3</x:v>
      </x:c>
      <x:c r="C35" s="11" t="str">
        <x:v>Goodfellow Federal Facility</x:v>
      </x:c>
      <x:c r="D35" s="11" t="str">
        <x:v>4300 Goodfellow Boulevard</x:v>
      </x:c>
      <x:c r="E35" s="11" t="str">
        <x:v>St. Louis</x:v>
      </x:c>
      <x:c r="F35" s="11" t="str">
        <x:v>MO</x:v>
      </x:c>
      <x:c r="G35" s="11" t="str">
        <x:v>USA</x:v>
      </x:c>
      <x:c r="H35" s="11" t="str">
        <x:v>Laboratory / specialized federal campus</x:v>
      </x:c>
      <x:c r="I35" s="11" t="str">
        <x:v>U.S. Government / GSA</x:v>
      </x:c>
      <x:c r="J35" s="11" t="str">
        <x:v>P2 MARKETED</x:v>
      </x:c>
      <x:c r="K35" s="11" t="str">
        <x:v>S0 LISTED</x:v>
      </x:c>
      <x:c r="L35" s="11" t="str">
        <x:v>O0 BUYER_UNDISCLOSED</x:v>
      </x:c>
      <x:c r="M35" s="20"/>
      <x:c r="N35" s="11" t="str"/>
      <x:c r="O35" s="11" t="str"/>
      <x:c r="P35" s="11" t="str"/>
      <x:c r="Q35" s="11" t="str">
        <x:v>UNRESOLVED</x:v>
      </x:c>
      <x:c r="R35" s="11" t="str">
        <x:v>Specialized research / industrial / institutional reuse potential</x:v>
      </x:c>
      <x:c r="S35" s="11" t="n">
        <x:v>1392628</x:v>
      </x:c>
      <x:c r="T35" s="11"/>
      <x:c r="U35" s="11" t="str"/>
      <x:c r="V35" s="11" t="str">
        <x:v>FEDERAL TITLE — DISPOSITION REVIEW</x:v>
      </x:c>
      <x:c r="W35" s="11" t="str">
        <x:v>REVIEW REQUIRED</x:v>
      </x:c>
      <x:c r="X35" s="11" t="str">
        <x:v>A</x:v>
      </x:c>
      <x:c r="Y35" s="11" t="str">
        <x:v>CRITICAL</x:v>
      </x:c>
      <x:c r="Z35" s="11" t="str">
        <x:v>SOURCE_VERIFIED</x:v>
      </x:c>
      <x:c r="AA35" s="11" t="str">
        <x:v>2026-09-20</x:v>
      </x:c>
      <x:c r="AB35" s="11" t="str">
        <x:v>Environmental/specialized facility obligations, title, utilities, hazardous materials, public-benefit feasibility</x:v>
      </x:c>
      <x:c r="AC35" s="11" t="str">
        <x:v>https://www.gsa.gov/real-estate/real-property-disposition/assets-identified-for-accelerated-disposition</x:v>
      </x:c>
      <x:c r="AD35" s="11" t="str"/>
    </x:row>
    <x:row r="36">
      <x:c r="A36" s="11" t="str">
        <x:v>SHD-035</x:v>
      </x:c>
      <x:c r="B36" s="11" t="str">
        <x:v>Tranche 3</x:v>
      </x:c>
      <x:c r="C36" s="11" t="str">
        <x:v>Federal Center South — disposition portion</x:v>
      </x:c>
      <x:c r="D36" s="11" t="str">
        <x:v>4735 E Marginal Way S</x:v>
      </x:c>
      <x:c r="E36" s="11" t="str">
        <x:v>Seattle</x:v>
      </x:c>
      <x:c r="F36" s="11" t="str">
        <x:v>WA</x:v>
      </x:c>
      <x:c r="G36" s="11" t="str">
        <x:v>USA</x:v>
      </x:c>
      <x:c r="H36" s="11" t="str">
        <x:v>Federal campus / office portions</x:v>
      </x:c>
      <x:c r="I36" s="11" t="str">
        <x:v>U.S. Government / GSA</x:v>
      </x:c>
      <x:c r="J36" s="11" t="str">
        <x:v>P2 MARKETED</x:v>
      </x:c>
      <x:c r="K36" s="11" t="str">
        <x:v>S0 LISTED</x:v>
      </x:c>
      <x:c r="L36" s="11" t="str">
        <x:v>O0 BUYER_UNDISCLOSED</x:v>
      </x:c>
      <x:c r="M36" s="20"/>
      <x:c r="N36" s="11" t="str"/>
      <x:c r="O36" s="11" t="str"/>
      <x:c r="P36" s="11" t="str"/>
      <x:c r="Q36" s="11" t="str">
        <x:v>UNRESOLVED</x:v>
      </x:c>
      <x:c r="R36" s="11" t="str">
        <x:v>Urban redevelopment / public-benefit opportunity</x:v>
      </x:c>
      <x:c r="S36" s="11" t="n">
        <x:v>422195</x:v>
      </x:c>
      <x:c r="T36" s="11"/>
      <x:c r="U36" s="11" t="str"/>
      <x:c r="V36" s="11" t="str">
        <x:v>FEDERAL TITLE — DISPOSITION REVIEW</x:v>
      </x:c>
      <x:c r="W36" s="11" t="str">
        <x:v>REVIEW REQUIRED</x:v>
      </x:c>
      <x:c r="X36" s="11" t="str">
        <x:v>A</x:v>
      </x:c>
      <x:c r="Y36" s="11" t="str">
        <x:v>VERY HIGH</x:v>
      </x:c>
      <x:c r="Z36" s="11" t="str">
        <x:v>SOURCE_VERIFIED</x:v>
      </x:c>
      <x:c r="AA36" s="11" t="str">
        <x:v>2026-09-20</x:v>
      </x:c>
      <x:c r="AB36" s="11" t="str">
        <x:v>Resolve exact parcels/buildings, waterfront/industrial environmental state, easements and disposition structure</x:v>
      </x:c>
      <x:c r="AC36" s="11" t="str">
        <x:v>https://www.gsa.gov/real-estate/real-property-disposition/assets-identified-for-accelerated-disposition</x:v>
      </x:c>
      <x:c r="AD36" s="11" t="str"/>
    </x:row>
    <x:row r="37">
      <x:c r="A37" s="11" t="str">
        <x:v>SHD-036</x:v>
      </x:c>
      <x:c r="B37" s="11" t="str">
        <x:v>Tranche 3</x:v>
      </x:c>
      <x:c r="C37" s="11" t="str">
        <x:v>Bozeman Federal Building and Post Office</x:v>
      </x:c>
      <x:c r="D37" s="11" t="str">
        <x:v>10 E Babcock Street</x:v>
      </x:c>
      <x:c r="E37" s="11" t="str">
        <x:v>Bozeman</x:v>
      </x:c>
      <x:c r="F37" s="11" t="str">
        <x:v>MT</x:v>
      </x:c>
      <x:c r="G37" s="11" t="str">
        <x:v>USA</x:v>
      </x:c>
      <x:c r="H37" s="11" t="str">
        <x:v>Historic federal building / post office</x:v>
      </x:c>
      <x:c r="I37" s="11" t="str">
        <x:v>U.S. Government / GSA</x:v>
      </x:c>
      <x:c r="J37" s="11" t="str">
        <x:v>P2 MARKETED</x:v>
      </x:c>
      <x:c r="K37" s="11" t="str">
        <x:v>S0 LISTED</x:v>
      </x:c>
      <x:c r="L37" s="11" t="str">
        <x:v>O0 BUYER_UNDISCLOSED</x:v>
      </x:c>
      <x:c r="M37" s="20"/>
      <x:c r="N37" s="11" t="str"/>
      <x:c r="O37" s="11" t="str"/>
      <x:c r="P37" s="11" t="str"/>
      <x:c r="Q37" s="11" t="str">
        <x:v>UNRESOLVED</x:v>
      </x:c>
      <x:c r="R37" s="11" t="str">
        <x:v>Historic downtown adaptive reuse</x:v>
      </x:c>
      <x:c r="S37" s="11" t="n">
        <x:v>80187</x:v>
      </x:c>
      <x:c r="T37" s="11"/>
      <x:c r="U37" s="11" t="str">
        <x:v>HISTORIC</x:v>
      </x:c>
      <x:c r="V37" s="11" t="str">
        <x:v>FEDERAL TITLE — DISPOSITION REVIEW</x:v>
      </x:c>
      <x:c r="W37" s="11" t="str">
        <x:v>UNASSESSED</x:v>
      </x:c>
      <x:c r="X37" s="11" t="str">
        <x:v>A</x:v>
      </x:c>
      <x:c r="Y37" s="11" t="str">
        <x:v>HIGH</x:v>
      </x:c>
      <x:c r="Z37" s="11" t="str">
        <x:v>SOURCE_VERIFIED</x:v>
      </x:c>
      <x:c r="AA37" s="11" t="str">
        <x:v>2026-09-20</x:v>
      </x:c>
      <x:c r="AB37" s="11" t="str">
        <x:v>Title restrictions, historic preservation obligations, postal/federal use and eventual buyer/capital</x:v>
      </x:c>
      <x:c r="AC37" s="11" t="str">
        <x:v>https://www.gsa.gov/about-gsa/newsroom/news-releases/gsa-announces-plan-to-sell-historic-bozeman-federal-building-and-post-office-07232026</x:v>
      </x:c>
      <x:c r="AD37" s="11" t="str"/>
    </x:row>
  </x:sheetData>
  <x:conditionalFormatting sqref="Y2:Y500">
    <x:cfRule type="expression" dxfId="0" priority="1">
      <x:formula>Y2="CRITICAL"</x:formula>
    </x:cfRule>
  </x:conditionalFormatting>
  <x:conditionalFormatting sqref="L2:L500">
    <x:cfRule type="expression" dxfId="1" priority="2">
      <x:formula>L2="O0 BUYER_UNDISCLOSED"</x:formula>
    </x:cfRule>
  </x:conditionalFormatting>
  <x:dataValidations count="5">
    <x:dataValidation type="list" sqref="J2:J500">
      <x:formula1>"P0 IDENTIFIED,P1 REVIEW,P2 MARKETED,P3 BIDDING,P4 HIGH_BIDDER,P5 UNDER_CONTRACT,P6 CLOSED,P7 REDEVELOPMENT,P8 REFINANCE_OR_RESALE"</x:formula1>
    </x:dataValidation>
    <x:dataValidation type="list" sqref="K2:K500">
      <x:formula1>"S0 LISTED,S1 AUCTION_COMPLETED,S2 AWARD_ANNOUNCED,S3 CLOSING_CONFIRMED,S4 DEED_CONFIRMED"</x:formula1>
    </x:dataValidation>
    <x:dataValidation type="list" sqref="L2:L500">
      <x:formula1>"O0 BUYER_UNDISCLOSED,O1 GRANTEE_IDENTIFIED,O2 PRINCIPALS_IDENTIFIED,O3 SPONSOR_IDENTIFIED,O4 LENDER_IDENTIFIED,O5 ULTIMATE_CAPITAL_RESOLVED"</x:formula1>
    </x:dataValidation>
    <x:dataValidation type="list" sqref="O2:O500">
      <x:formula1>"PUBLIC,NONPROFIT,LOCAL_PRIVATE,DEVELOPER,FAMILY_OFFICE,PRIVATE_EQUITY,PRIVATE_CREDIT,REIT,BANK,TECH_INFRASTRUCTURE,SPE_UNRESOLVED,OTHER"</x:formula1>
    </x:dataValidation>
    <x:dataValidation type="list" sqref="Y2:Y500">
      <x:formula1>"CRITICAL,VERY HIGH,HIGH,MEDIUM,LOW"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e3a0bf319a47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8" hidden="0" customWidth="1"/>
    <x:col min="4" max="4" width="24" hidden="0" customWidth="1"/>
    <x:col min="5" max="5" width="24" hidden="0" customWidth="1"/>
    <x:col min="6" max="6" width="31" hidden="0" customWidth="1"/>
    <x:col min="7" max="7" width="18" hidden="0" customWidth="1"/>
    <x:col min="8" max="8" width="34" hidden="0" customWidth="1"/>
    <x:col min="9" max="9" width="20" hidden="0" customWidth="1"/>
    <x:col min="10" max="10" width="24" hidden="0" customWidth="1"/>
    <x:col min="11" max="11" width="16" hidden="0" customWidth="1"/>
    <x:col min="12" max="12" width="22" hidden="0" customWidth="1"/>
    <x:col min="13" max="13" width="48" hidden="0" customWidth="1"/>
  </x:cols>
  <x:sheetData>
    <x:row r="1" ht="30" customHeight="1">
      <x:c r="A1" s="18" t="str">
        <x:v>Asset_ID</x:v>
      </x:c>
      <x:c r="B1" s="18" t="str">
        <x:v>Recorded_Grantee</x:v>
      </x:c>
      <x:c r="C1" s="18" t="str">
        <x:v>Grantee_Type</x:v>
      </x:c>
      <x:c r="D1" s="18" t="str">
        <x:v>Principal_1</x:v>
      </x:c>
      <x:c r="E1" s="18" t="str">
        <x:v>Principal_2</x:v>
      </x:c>
      <x:c r="F1" s="18" t="str">
        <x:v>Sponsor_Parent</x:v>
      </x:c>
      <x:c r="G1" s="18" t="str">
        <x:v>Sponsor_Type</x:v>
      </x:c>
      <x:c r="H1" s="18" t="str">
        <x:v>Ultimate_Capital</x:v>
      </x:c>
      <x:c r="I1" s="18" t="str">
        <x:v>Ultimate_Capital_Type</x:v>
      </x:c>
      <x:c r="J1" s="18" t="str">
        <x:v>Acquisition_Lender</x:v>
      </x:c>
      <x:c r="K1" s="18" t="str">
        <x:v>Debt_Amount_USD</x:v>
      </x:c>
      <x:c r="L1" s="18" t="str">
        <x:v>Capital_Resolution_Level</x:v>
      </x:c>
      <x:c r="M1" s="18" t="str">
        <x:v>Notes</x:v>
      </x:c>
    </x:row>
    <x:row r="2">
      <x:c r="A2" t="str">
        <x:v>SHD-001</x:v>
      </x:c>
      <x:c r="B2" t="str">
        <x:v>USGS Menlo Park LLC</x:v>
      </x:c>
      <x:c r="C2" t="str">
        <x:v>SPE</x:v>
      </x:c>
      <x:c r="D2" t="str"/>
      <x:c r="E2" t="str"/>
      <x:c r="F2" t="str">
        <x:v>Presidio Bay Ventures</x:v>
      </x:c>
      <x:c r="G2" t="str">
        <x:v>DEVELOPER</x:v>
      </x:c>
      <x:c r="H2" t="str"/>
      <x:c r="I2" t="str"/>
      <x:c r="J2" t="str"/>
      <x:c r="K2" s="22"/>
      <x:c r="L2" t="str">
        <x:v>O3</x:v>
      </x:c>
      <x:c r="M2" t="str">
        <x:v>Sponsor identified; lender/ultimate capital unresolved.</x:v>
      </x:c>
    </x:row>
    <x:row r="3">
      <x:c r="A3" t="str">
        <x:v>SHD-002</x:v>
      </x:c>
      <x:c r="B3" t="str">
        <x:v>Dalian Development affiliate</x:v>
      </x:c>
      <x:c r="C3" t="str">
        <x:v>SPE</x:v>
      </x:c>
      <x:c r="D3" t="str">
        <x:v>Hossein Fateh</x:v>
      </x:c>
      <x:c r="E3" t="str"/>
      <x:c r="F3" t="str">
        <x:v>Dalian Development / family-office platform</x:v>
      </x:c>
      <x:c r="G3" t="str">
        <x:v>FAMILY_OFFICE</x:v>
      </x:c>
      <x:c r="H3" t="str">
        <x:v>Family-office / related platform</x:v>
      </x:c>
      <x:c r="I3" t="str">
        <x:v>FAMILY_OFFICE</x:v>
      </x:c>
      <x:c r="J3" t="str"/>
      <x:c r="K3" s="22"/>
      <x:c r="L3" t="str">
        <x:v>O3</x:v>
      </x:c>
      <x:c r="M3" t="str">
        <x:v>Exact grantee/lender still needed.</x:v>
      </x:c>
    </x:row>
    <x:row r="4">
      <x:c r="A4" t="str">
        <x:v>SHD-003</x:v>
      </x:c>
      <x:c r="B4" t="str">
        <x:v>Affiliate of BDT &amp; MSD Partners / existing leaseholder</x:v>
      </x:c>
      <x:c r="C4" t="str">
        <x:v>SPE</x:v>
      </x:c>
      <x:c r="D4" t="str"/>
      <x:c r="E4" t="str"/>
      <x:c r="F4" t="str">
        <x:v>BDT &amp; MSD Partners</x:v>
      </x:c>
      <x:c r="G4" t="str">
        <x:v>PRIVATE_EQUITY</x:v>
      </x:c>
      <x:c r="H4" t="str">
        <x:v>BDT &amp; MSD Partners / MSD-linked capital</x:v>
      </x:c>
      <x:c r="I4" t="str">
        <x:v>PRIVATE_EQUITY</x:v>
      </x:c>
      <x:c r="J4" t="str"/>
      <x:c r="K4" s="22"/>
      <x:c r="L4" t="str">
        <x:v>O3</x:v>
      </x:c>
      <x:c r="M4" t="str">
        <x:v>ROFO transaction; exact entity/debt unresolved.</x:v>
      </x:c>
    </x:row>
    <x:row r="5">
      <x:c r="A5" t="str">
        <x:v>SHD-004</x:v>
      </x:c>
      <x:c r="B5" t="str">
        <x:v>401 14 ST SW 2025 LLC</x:v>
      </x:c>
      <x:c r="C5" t="str">
        <x:v>SPE</x:v>
      </x:c>
      <x:c r="D5" t="str">
        <x:v>Satvik “Vinny” Raj</x:v>
      </x:c>
      <x:c r="E5" t="str"/>
      <x:c r="F5" t="str">
        <x:v>Satvik Raj</x:v>
      </x:c>
      <x:c r="G5" t="str">
        <x:v>LOCAL_PRIVATE</x:v>
      </x:c>
      <x:c r="H5" t="str"/>
      <x:c r="I5" t="str"/>
      <x:c r="J5" t="str">
        <x:v>OakNorth Bank</x:v>
      </x:c>
      <x:c r="K5" s="22" t="n">
        <x:v>17500000</x:v>
      </x:c>
      <x:c r="L5" t="str">
        <x:v>O4</x:v>
      </x:c>
      <x:c r="M5" t="str">
        <x:v>Reported loan ~$17.5M; verify recorded instrument.</x:v>
      </x:c>
    </x:row>
    <x:row r="6">
      <x:c r="A6" t="str">
        <x:v>SHD-005</x:v>
      </x:c>
      <x:c r="B6" t="str">
        <x:v>ScanlanKemperBard (SKB)</x:v>
      </x:c>
      <x:c r="C6" t="str">
        <x:v>COMPANY</x:v>
      </x:c>
      <x:c r="D6" t="str"/>
      <x:c r="E6" t="str"/>
      <x:c r="F6" t="str">
        <x:v>ScanlanKemperBard</x:v>
      </x:c>
      <x:c r="G6" t="str">
        <x:v>PRIVATE_EQUITY</x:v>
      </x:c>
      <x:c r="H6" t="str"/>
      <x:c r="I6" t="str"/>
      <x:c r="J6" t="str"/>
      <x:c r="K6" s="22"/>
      <x:c r="L6" t="str">
        <x:v>O3</x:v>
      </x:c>
      <x:c r="M6" t="str">
        <x:v>Lender unresolved.</x:v>
      </x:c>
    </x:row>
    <x:row r="7">
      <x:c r="A7" t="str">
        <x:v>SHD-006</x:v>
      </x:c>
      <x:c r="B7" t="str">
        <x:v>123 E Walnut LLC</x:v>
      </x:c>
      <x:c r="C7" t="str">
        <x:v>SPE</x:v>
      </x:c>
      <x:c r="D7" t="str">
        <x:v>Brian Seidensticker</x:v>
      </x:c>
      <x:c r="E7" t="str"/>
      <x:c r="F7" t="str"/>
      <x:c r="G7" t="str">
        <x:v>LOCAL_PRIVATE</x:v>
      </x:c>
      <x:c r="H7" t="str"/>
      <x:c r="I7" t="str"/>
      <x:c r="J7" t="str"/>
      <x:c r="K7" s="22"/>
      <x:c r="L7" t="str">
        <x:v>O2</x:v>
      </x:c>
      <x:c r="M7" t="str">
        <x:v>VC affiliation does not prove fund financing.</x:v>
      </x:c>
    </x:row>
    <x:row r="8">
      <x:c r="A8" t="str">
        <x:v>SHD-007</x:v>
      </x:c>
      <x:c r="B8" t="str">
        <x:v>Maplewood Development</x:v>
      </x:c>
      <x:c r="C8" t="str">
        <x:v>COMPANY</x:v>
      </x:c>
      <x:c r="D8" t="str">
        <x:v>Mario J. Cocchiarella</x:v>
      </x:c>
      <x:c r="E8" t="str"/>
      <x:c r="F8" t="str">
        <x:v>Maplewood Development</x:v>
      </x:c>
      <x:c r="G8" t="str">
        <x:v>DEVELOPER</x:v>
      </x:c>
      <x:c r="H8" t="str"/>
      <x:c r="I8" t="str"/>
      <x:c r="J8" t="str"/>
      <x:c r="K8" s="22"/>
      <x:c r="L8" t="str">
        <x:v>O3</x:v>
      </x:c>
      <x:c r="M8" t="str">
        <x:v>Lender unresolved.</x:v>
      </x:c>
    </x:row>
    <x:row r="9">
      <x:c r="A9" t="str">
        <x:v>SHD-008</x:v>
      </x:c>
      <x:c r="B9" t="str">
        <x:v>63 Bridge St LLC</x:v>
      </x:c>
      <x:c r="C9" t="str">
        <x:v>SPE</x:v>
      </x:c>
      <x:c r="D9" t="str">
        <x:v>Eli Cayer</x:v>
      </x:c>
      <x:c r="E9" t="str">
        <x:v>Jason Dionne</x:v>
      </x:c>
      <x:c r="F9" t="str">
        <x:v>NorthStar Brewpub / local sponsors</x:v>
      </x:c>
      <x:c r="G9" t="str">
        <x:v>LOCAL_PRIVATE</x:v>
      </x:c>
      <x:c r="H9" t="str">
        <x:v>Community crowdfunding</x:v>
      </x:c>
      <x:c r="I9" t="str">
        <x:v>OTHER</x:v>
      </x:c>
      <x:c r="J9" t="str"/>
      <x:c r="K9" s="22"/>
      <x:c r="L9" t="str">
        <x:v>O2</x:v>
      </x:c>
      <x:c r="M9" t="str">
        <x:v>Community capital model; lender unresolved.</x:v>
      </x:c>
    </x:row>
    <x:row r="10">
      <x:c r="A10" t="str">
        <x:v>SHD-009</x:v>
      </x:c>
      <x:c r="B10" t="str">
        <x:v>Pransh Minerals LLC</x:v>
      </x:c>
      <x:c r="C10" t="str">
        <x:v>SPE</x:v>
      </x:c>
      <x:c r="D10" t="str"/>
      <x:c r="E10" t="str"/>
      <x:c r="F10" t="str">
        <x:v>Pransh Group</x:v>
      </x:c>
      <x:c r="G10" t="str">
        <x:v>LOCAL_PRIVATE</x:v>
      </x:c>
      <x:c r="H10" t="str">
        <x:v>Principal real-asset capital</x:v>
      </x:c>
      <x:c r="I10" t="str">
        <x:v>OTHER</x:v>
      </x:c>
      <x:c r="J10" t="str"/>
      <x:c r="K10" s="22"/>
      <x:c r="L10" t="str">
        <x:v>O3</x:v>
      </x:c>
      <x:c r="M10" t="str">
        <x:v>Recorded assignment still needed.</x:v>
      </x:c>
    </x:row>
    <x:row r="11">
      <x:c r="A11" t="str">
        <x:v>SHD-010</x:v>
      </x:c>
      <x:c r="B11" t="str">
        <x:v>Laguna Ridge Health Care Development LLC</x:v>
      </x:c>
      <x:c r="C11" t="str">
        <x:v>SPE</x:v>
      </x:c>
      <x:c r="D11" t="str"/>
      <x:c r="E11" t="str"/>
      <x:c r="F11" t="str">
        <x:v>Hoag Memorial Hospital Presbyterian</x:v>
      </x:c>
      <x:c r="G11" t="str">
        <x:v>NONPROFIT</x:v>
      </x:c>
      <x:c r="H11" t="str">
        <x:v>Hoag nonprofit health system</x:v>
      </x:c>
      <x:c r="I11" t="str">
        <x:v>NONPROFIT</x:v>
      </x:c>
      <x:c r="J11" t="str"/>
      <x:c r="K11" s="22"/>
      <x:c r="L11" t="str">
        <x:v>O3</x:v>
      </x:c>
      <x:c r="M11" t="str">
        <x:v>Reported consideration is &gt;$207M floor.</x:v>
      </x:c>
    </x:row>
    <x:row r="12">
      <x:c r="A12" t="str">
        <x:v>SHD-011</x:v>
      </x:c>
      <x:c r="B12" t="str">
        <x:v>Nashville Convention Center Authority</x:v>
      </x:c>
      <x:c r="C12" t="str">
        <x:v>PUBLIC_ENTITY</x:v>
      </x:c>
      <x:c r="D12" t="str"/>
      <x:c r="E12" t="str"/>
      <x:c r="F12" t="str">
        <x:v>Nashville Convention Center Authority</x:v>
      </x:c>
      <x:c r="G12" t="str">
        <x:v>PUBLIC</x:v>
      </x:c>
      <x:c r="H12" t="str">
        <x:v>Public authority</x:v>
      </x:c>
      <x:c r="I12" t="str">
        <x:v>PUBLIC</x:v>
      </x:c>
      <x:c r="J12" t="str"/>
      <x:c r="K12" s="22"/>
      <x:c r="L12" t="str">
        <x:v>O3</x:v>
      </x:c>
      <x:c r="M12" t="str"/>
    </x:row>
    <x:row r="13">
      <x:c r="A13" t="str">
        <x:v>SHD-012</x:v>
      </x:c>
      <x:c r="B13" t="str">
        <x:v>City of San Antonio</x:v>
      </x:c>
      <x:c r="C13" t="str">
        <x:v>PUBLIC_ENTITY</x:v>
      </x:c>
      <x:c r="D13" t="str"/>
      <x:c r="E13" t="str"/>
      <x:c r="F13" t="str">
        <x:v>City of San Antonio</x:v>
      </x:c>
      <x:c r="G13" t="str">
        <x:v>PUBLIC</x:v>
      </x:c>
      <x:c r="H13" t="str">
        <x:v>Municipal capital</x:v>
      </x:c>
      <x:c r="I13" t="str">
        <x:v>PUBLIC</x:v>
      </x:c>
      <x:c r="J13" t="str"/>
      <x:c r="K13" s="22"/>
      <x:c r="L13" t="str">
        <x:v>O3</x:v>
      </x:c>
      <x:c r="M13" t="str"/>
    </x:row>
    <x:row r="14">
      <x:c r="A14" t="str">
        <x:v>SHD-013</x:v>
      </x:c>
      <x:c r="B14" t="str">
        <x:v>City of San Marcos / Texas State University</x:v>
      </x:c>
      <x:c r="C14" t="str">
        <x:v>PUBLIC_ENTITY</x:v>
      </x:c>
      <x:c r="D14" t="str"/>
      <x:c r="E14" t="str"/>
      <x:c r="F14" t="str">
        <x:v>City of San Marcos / Texas State University</x:v>
      </x:c>
      <x:c r="G14" t="str">
        <x:v>PUBLIC</x:v>
      </x:c>
      <x:c r="H14" t="str">
        <x:v>Public / university capital</x:v>
      </x:c>
      <x:c r="I14" t="str">
        <x:v>PUBLIC</x:v>
      </x:c>
      <x:c r="J14" t="str"/>
      <x:c r="K14" s="22"/>
      <x:c r="L14" t="str">
        <x:v>O3</x:v>
      </x:c>
      <x:c r="M14" t="str"/>
    </x:row>
    <x:row r="15">
      <x:c r="A15" t="str">
        <x:v>SHD-014</x:v>
      </x:c>
      <x:c r="B15" t="str">
        <x:v>Town of Silver City</x:v>
      </x:c>
      <x:c r="C15" t="str">
        <x:v>PUBLIC_ENTITY</x:v>
      </x:c>
      <x:c r="D15" t="str"/>
      <x:c r="E15" t="str"/>
      <x:c r="F15" t="str">
        <x:v>Town of Silver City</x:v>
      </x:c>
      <x:c r="G15" t="str">
        <x:v>PUBLIC</x:v>
      </x:c>
      <x:c r="H15" t="str">
        <x:v>Municipal capital</x:v>
      </x:c>
      <x:c r="I15" t="str">
        <x:v>PUBLIC</x:v>
      </x:c>
      <x:c r="J15" t="str"/>
      <x:c r="K15" s="22"/>
      <x:c r="L15" t="str">
        <x:v>O3</x:v>
      </x:c>
      <x:c r="M15" t="str"/>
    </x:row>
    <x:row r="16">
      <x:c r="A16" t="str">
        <x:v>SHD-015</x:v>
      </x:c>
      <x:c r="B16" t="str">
        <x:v>University of Virginia</x:v>
      </x:c>
      <x:c r="C16" t="str">
        <x:v>PUBLIC_ENTITY</x:v>
      </x:c>
      <x:c r="D16" t="str"/>
      <x:c r="E16" t="str"/>
      <x:c r="F16" t="str">
        <x:v>University of Virginia</x:v>
      </x:c>
      <x:c r="G16" t="str">
        <x:v>PUBLIC</x:v>
      </x:c>
      <x:c r="H16" t="str">
        <x:v>Public university</x:v>
      </x:c>
      <x:c r="I16" t="str">
        <x:v>PUBLIC</x:v>
      </x:c>
      <x:c r="J16" t="str"/>
      <x:c r="K16" s="22"/>
      <x:c r="L16" t="str">
        <x:v>O3</x:v>
      </x:c>
      <x:c r="M16" t="str"/>
    </x:row>
    <x:row r="17">
      <x:c r="A17" t="str">
        <x:v>SHD-016</x:v>
      </x:c>
      <x:c r="B17" t="str">
        <x:v>City of Huntsville</x:v>
      </x:c>
      <x:c r="C17" t="str">
        <x:v>PUBLIC_ENTITY</x:v>
      </x:c>
      <x:c r="D17" t="str"/>
      <x:c r="E17" t="str"/>
      <x:c r="F17" t="str">
        <x:v>City of Huntsville</x:v>
      </x:c>
      <x:c r="G17" t="str">
        <x:v>PUBLIC</x:v>
      </x:c>
      <x:c r="H17" t="str">
        <x:v>Municipal capital</x:v>
      </x:c>
      <x:c r="I17" t="str">
        <x:v>PUBLIC</x:v>
      </x:c>
      <x:c r="J17" t="str"/>
      <x:c r="K17" s="22"/>
      <x:c r="L17" t="str">
        <x:v>O3</x:v>
      </x:c>
      <x:c r="M17" t="str"/>
    </x:row>
    <x:row r="18">
      <x:c r="A18" t="str">
        <x:v>SHD-017</x:v>
      </x:c>
      <x:c r="B18" t="str">
        <x:v>Undisclosed in public auction interface</x:v>
      </x:c>
      <x:c r="C18" t="str"/>
      <x:c r="D18" t="str"/>
      <x:c r="E18" t="str"/>
      <x:c r="F18" t="str"/>
      <x:c r="G18" t="str">
        <x:v>SPE_UNRESOLVED</x:v>
      </x:c>
      <x:c r="H18" t="str"/>
      <x:c r="I18" t="str"/>
      <x:c r="J18" t="str"/>
      <x:c r="K18" s="22"/>
      <x:c r="L18" t="str">
        <x:v>O0 BUYER_UNDISCLOSED</x:v>
      </x:c>
      <x:c r="M18" t="str"/>
    </x:row>
    <x:row r="19">
      <x:c r="A19" t="str">
        <x:v>SHD-018</x:v>
      </x:c>
      <x:c r="B19" t="str">
        <x:v>RAMA LLC</x:v>
      </x:c>
      <x:c r="C19" t="str">
        <x:v>SPE</x:v>
      </x:c>
      <x:c r="D19" t="str"/>
      <x:c r="E19" t="str"/>
      <x:c r="F19" t="str"/>
      <x:c r="G19" t="str">
        <x:v>SPE_UNRESOLVED</x:v>
      </x:c>
      <x:c r="H19" t="str"/>
      <x:c r="I19" t="str"/>
      <x:c r="J19" t="str"/>
      <x:c r="K19" s="22"/>
      <x:c r="L19" t="str">
        <x:v>O1</x:v>
      </x:c>
      <x:c r="M19" t="str">
        <x:v>Beneficial owner unresolved.</x:v>
      </x:c>
    </x:row>
    <x:row r="20">
      <x:c r="A20" t="str">
        <x:v>SHD-019</x:v>
      </x:c>
      <x:c r="B20" t="str">
        <x:v>Undisclosed</x:v>
      </x:c>
      <x:c r="C20" t="str"/>
      <x:c r="D20" t="str"/>
      <x:c r="E20" t="str"/>
      <x:c r="F20" t="str"/>
      <x:c r="G20" t="str">
        <x:v>SPE_UNRESOLVED</x:v>
      </x:c>
      <x:c r="H20" t="str"/>
      <x:c r="I20" t="str"/>
      <x:c r="J20" t="str"/>
      <x:c r="K20" s="22"/>
      <x:c r="L20" t="str">
        <x:v>O0 BUYER_UNDISCLOSED</x:v>
      </x:c>
      <x:c r="M20" t="str"/>
    </x:row>
    <x:row r="21">
      <x:c r="A21" t="str">
        <x:v>SHD-020</x:v>
      </x:c>
      <x:c r="B21" t="str">
        <x:v>Undisclosed</x:v>
      </x:c>
      <x:c r="C21" t="str"/>
      <x:c r="D21" t="str"/>
      <x:c r="E21" t="str"/>
      <x:c r="F21" t="str"/>
      <x:c r="G21" t="str">
        <x:v>SPE_UNRESOLVED</x:v>
      </x:c>
      <x:c r="H21" t="str"/>
      <x:c r="I21" t="str"/>
      <x:c r="J21" t="str"/>
      <x:c r="K21" s="22"/>
      <x:c r="L21" t="str">
        <x:v>O0 BUYER_UNDISCLOSED</x:v>
      </x:c>
      <x:c r="M21" t="str"/>
    </x:row>
    <x:row r="22">
      <x:c r="A22" t="str">
        <x:v>SHD-021</x:v>
      </x:c>
      <x:c r="B22" t="str">
        <x:v>Undisclosed</x:v>
      </x:c>
      <x:c r="C22" t="str"/>
      <x:c r="D22" t="str"/>
      <x:c r="E22" t="str"/>
      <x:c r="F22" t="str"/>
      <x:c r="G22" t="str">
        <x:v>SPE_UNRESOLVED</x:v>
      </x:c>
      <x:c r="H22" t="str"/>
      <x:c r="I22" t="str"/>
      <x:c r="J22" t="str"/>
      <x:c r="K22" s="22"/>
      <x:c r="L22" t="str">
        <x:v>O0 BUYER_UNDISCLOSED</x:v>
      </x:c>
      <x:c r="M22" t="str"/>
    </x:row>
    <x:row r="23">
      <x:c r="A23" t="str">
        <x:v>SHD-022</x:v>
      </x:c>
      <x:c r="B23" t="str">
        <x:v>Undisclosed</x:v>
      </x:c>
      <x:c r="C23" t="str"/>
      <x:c r="D23" t="str"/>
      <x:c r="E23" t="str"/>
      <x:c r="F23" t="str"/>
      <x:c r="G23" t="str">
        <x:v>SPE_UNRESOLVED</x:v>
      </x:c>
      <x:c r="H23" t="str"/>
      <x:c r="I23" t="str"/>
      <x:c r="J23" t="str"/>
      <x:c r="K23" s="22"/>
      <x:c r="L23" t="str">
        <x:v>O0 BUYER_UNDISCLOSED</x:v>
      </x:c>
      <x:c r="M23" t="str"/>
    </x:row>
    <x:row r="24">
      <x:c r="A24" t="str">
        <x:v>SHD-023</x:v>
      </x:c>
      <x:c r="B24" t="str">
        <x:v>Undisclosed</x:v>
      </x:c>
      <x:c r="C24" t="str"/>
      <x:c r="D24" t="str"/>
      <x:c r="E24" t="str"/>
      <x:c r="F24" t="str"/>
      <x:c r="G24" t="str">
        <x:v>SPE_UNRESOLVED</x:v>
      </x:c>
      <x:c r="H24" t="str"/>
      <x:c r="I24" t="str"/>
      <x:c r="J24" t="str"/>
      <x:c r="K24" s="22"/>
      <x:c r="L24" t="str">
        <x:v>O0 BUYER_UNDISCLOSED</x:v>
      </x:c>
      <x:c r="M24" t="str"/>
    </x:row>
    <x:row r="25">
      <x:c r="A25" t="str">
        <x:v>SHD-024</x:v>
      </x:c>
      <x:c r="B25" t="str">
        <x:v>Undisclosed</x:v>
      </x:c>
      <x:c r="C25" t="str"/>
      <x:c r="D25" t="str"/>
      <x:c r="E25" t="str"/>
      <x:c r="F25" t="str"/>
      <x:c r="G25" t="str">
        <x:v>SPE_UNRESOLVED</x:v>
      </x:c>
      <x:c r="H25" t="str"/>
      <x:c r="I25" t="str"/>
      <x:c r="J25" t="str"/>
      <x:c r="K25" s="22"/>
      <x:c r="L25" t="str">
        <x:v>O0 BUYER_UNDISCLOSED</x:v>
      </x:c>
      <x:c r="M25" t="str"/>
    </x:row>
    <x:row r="26">
      <x:c r="A26" t="str">
        <x:v>SHD-025</x:v>
      </x:c>
      <x:c r="B26" t="str">
        <x:v>Undisclosed</x:v>
      </x:c>
      <x:c r="C26" t="str"/>
      <x:c r="D26" t="str"/>
      <x:c r="E26" t="str"/>
      <x:c r="F26" t="str"/>
      <x:c r="G26" t="str">
        <x:v>SPE_UNRESOLVED</x:v>
      </x:c>
      <x:c r="H26" t="str"/>
      <x:c r="I26" t="str"/>
      <x:c r="J26" t="str"/>
      <x:c r="K26" s="22"/>
      <x:c r="L26" t="str">
        <x:v>O0 BUYER_UNDISCLOSED</x:v>
      </x:c>
      <x:c r="M26" t="str"/>
    </x:row>
    <x:row r="27">
      <x:c r="A27" t="str">
        <x:v>SHD-026</x:v>
      </x:c>
      <x:c r="B27" t="str">
        <x:v>Morrison Industrial Equipment Co.</x:v>
      </x:c>
      <x:c r="C27" t="str">
        <x:v>OPERATING_COMPANY</x:v>
      </x:c>
      <x:c r="D27" t="str"/>
      <x:c r="E27" t="str"/>
      <x:c r="F27" t="str">
        <x:v>Morrison Industrial Equipment Co.</x:v>
      </x:c>
      <x:c r="G27" t="str">
        <x:v>LOCAL_PRIVATE</x:v>
      </x:c>
      <x:c r="H27" t="str">
        <x:v>Operating-company capital</x:v>
      </x:c>
      <x:c r="I27" t="str">
        <x:v>LOCAL_PRIVATE</x:v>
      </x:c>
      <x:c r="J27" t="str"/>
      <x:c r="K27" s="22"/>
      <x:c r="L27" t="str">
        <x:v>O3</x:v>
      </x:c>
      <x:c r="M27" t="str">
        <x:v>High bidder; closing not confirmed.</x:v>
      </x:c>
    </x:row>
    <x:row r="28">
      <x:c r="A28" t="str">
        <x:v>SHD-027</x:v>
      </x:c>
      <x:c r="B28" t="str">
        <x:v>87 State Street Local Development Corporation</x:v>
      </x:c>
      <x:c r="C28" t="str">
        <x:v>NONPROFIT</x:v>
      </x:c>
      <x:c r="D28" t="str"/>
      <x:c r="E28" t="str"/>
      <x:c r="F28" t="str">
        <x:v>Local nonprofit coalition / Foundation for a Resilient Montpelier</x:v>
      </x:c>
      <x:c r="G28" t="str">
        <x:v>NONPROFIT</x:v>
      </x:c>
      <x:c r="H28" t="str">
        <x:v>Community / public-development funding</x:v>
      </x:c>
      <x:c r="I28" t="str">
        <x:v>NONPROFIT</x:v>
      </x:c>
      <x:c r="J28" t="str"/>
      <x:c r="K28" s="22"/>
      <x:c r="L28" t="str">
        <x:v>O3</x:v>
      </x:c>
      <x:c r="M28" t="str">
        <x:v>High bid rejected; no transfer.</x:v>
      </x:c>
    </x:row>
    <x:row r="29">
      <x:c r="A29" t="str">
        <x:v>SHD-028</x:v>
      </x:c>
      <x:c r="B29" t="str">
        <x:v>Undisclosed prospective buyer</x:v>
      </x:c>
      <x:c r="C29" t="str"/>
      <x:c r="D29" t="str"/>
      <x:c r="E29" t="str"/>
      <x:c r="F29" t="str"/>
      <x:c r="G29" t="str">
        <x:v>SPE_UNRESOLVED</x:v>
      </x:c>
      <x:c r="H29" t="str"/>
      <x:c r="I29" t="str"/>
      <x:c r="J29" t="str"/>
      <x:c r="K29" s="22"/>
      <x:c r="L29" t="str">
        <x:v>O0 BUYER_UNDISCLOSED</x:v>
      </x:c>
      <x:c r="M29" t="str"/>
    </x:row>
    <x:row r="30">
      <x:c r="A30" t="str">
        <x:v>SHD-029</x:v>
      </x:c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s="22"/>
      <x:c r="L30" t="str">
        <x:v>O0 BUYER_UNDISCLOSED</x:v>
      </x:c>
      <x:c r="M30" t="str"/>
    </x:row>
    <x:row r="31">
      <x:c r="A31" t="str">
        <x:v>SHD-030</x:v>
      </x:c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s="22"/>
      <x:c r="L31" t="str">
        <x:v>O0 BUYER_UNDISCLOSED</x:v>
      </x:c>
      <x:c r="M31" t="str"/>
    </x:row>
    <x:row r="32">
      <x:c r="A32" t="str">
        <x:v>SHD-031</x:v>
      </x:c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s="22"/>
      <x:c r="L32" t="str">
        <x:v>O0 BUYER_UNDISCLOSED</x:v>
      </x:c>
      <x:c r="M32" t="str"/>
    </x:row>
    <x:row r="33">
      <x:c r="A33" t="str">
        <x:v>SHD-032</x:v>
      </x:c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s="22"/>
      <x:c r="L33" t="str">
        <x:v>O0 BUYER_UNDISCLOSED</x:v>
      </x:c>
      <x:c r="M33" t="str"/>
    </x:row>
    <x:row r="34">
      <x:c r="A34" t="str">
        <x:v>SHD-033</x:v>
      </x:c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s="22"/>
      <x:c r="L34" t="str">
        <x:v>O0 BUYER_UNDISCLOSED</x:v>
      </x:c>
      <x:c r="M34" t="str"/>
    </x:row>
    <x:row r="35">
      <x:c r="A35" t="str">
        <x:v>SHD-034</x:v>
      </x:c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s="22"/>
      <x:c r="L35" t="str">
        <x:v>O0 BUYER_UNDISCLOSED</x:v>
      </x:c>
      <x:c r="M35" t="str"/>
    </x:row>
    <x:row r="36">
      <x:c r="A36" t="str">
        <x:v>SHD-035</x:v>
      </x:c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s="22"/>
      <x:c r="L36" t="str">
        <x:v>O0 BUYER_UNDISCLOSED</x:v>
      </x:c>
      <x:c r="M36" t="str"/>
    </x:row>
    <x:row r="37">
      <x:c r="A37" t="str">
        <x:v>SHD-036</x:v>
      </x:c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s="22"/>
      <x:c r="L37" t="str">
        <x:v>O0 BUYER_UNDISCLOSED</x:v>
      </x:c>
      <x:c r="M37" t="str"/>
    </x:row>
  </x:sheetData>
  <x:pageMargins left="0.7" right="0.7" top="0.75" bottom="0.75" header="0.3" footer="0.3"/>
  <x:tableParts count="1">
    <x:tablePart xmlns:r="http://schemas.openxmlformats.org/officeDocument/2006/relationships" r:id="Ra1b227c8952440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20" hidden="0" customWidth="1"/>
    <x:col min="10" max="10" width="20" hidden="0" customWidth="1"/>
    <x:col min="11" max="11" width="22" hidden="0" customWidth="1"/>
    <x:col min="12" max="12" width="30" hidden="0" customWidth="1"/>
    <x:col min="13" max="13" width="48" hidden="0" customWidth="1"/>
  </x:cols>
  <x:sheetData>
    <x:row r="1" ht="30" customHeight="1">
      <x:c r="A1" s="18" t="str">
        <x:v>Asset_ID</x:v>
      </x:c>
      <x:c r="B1" s="18" t="str">
        <x:v>Disposition_Agency</x:v>
      </x:c>
      <x:c r="C1" s="18" t="str">
        <x:v>Sale_Method</x:v>
      </x:c>
      <x:c r="D1" s="18" t="str">
        <x:v>Listed_Date</x:v>
      </x:c>
      <x:c r="E1" s="18" t="str">
        <x:v>Auction_Date</x:v>
      </x:c>
      <x:c r="F1" s="18" t="str">
        <x:v>Award_Date</x:v>
      </x:c>
      <x:c r="G1" s="18" t="str">
        <x:v>Closing_Date</x:v>
      </x:c>
      <x:c r="H1" s="18" t="str">
        <x:v>Consideration_USD</x:v>
      </x:c>
      <x:c r="I1" s="18" t="str">
        <x:v>High_Bid_or_Minimum_USD</x:v>
      </x:c>
      <x:c r="J1" s="18" t="str">
        <x:v>Disposition_State</x:v>
      </x:c>
      <x:c r="K1" s="18" t="str">
        <x:v>Transaction_Proof_State</x:v>
      </x:c>
      <x:c r="L1" s="18" t="str">
        <x:v>Broker_or_Intermediary</x:v>
      </x:c>
      <x:c r="M1" s="18" t="str">
        <x:v>Notes</x:v>
      </x:c>
    </x:row>
    <x:row r="2">
      <x:c r="A2" t="str">
        <x:v>SHD-001</x:v>
      </x:c>
      <x:c r="B2" t="str">
        <x:v>GSA / U.S. Government</x:v>
      </x:c>
      <x:c r="C2" t="str">
        <x:v>Federal disposition / sale</x:v>
      </x:c>
      <x:c r="D2"/>
      <x:c r="E2"/>
      <x:c r="F2"/>
      <x:c r="G2"/>
      <x:c r="H2" s="22" t="n">
        <x:v>137000006</x:v>
      </x:c>
      <x:c r="I2" s="22"/>
      <x:c r="J2" t="str">
        <x:v>P6 CLOSED</x:v>
      </x:c>
      <x:c r="K2" t="str">
        <x:v>S3 CLOSING_CONFIRMED</x:v>
      </x:c>
      <x:c r="L2" t="str"/>
      <x:c r="M2" t="str"/>
    </x:row>
    <x:row r="3">
      <x:c r="A3" t="str">
        <x:v>SHD-002</x:v>
      </x:c>
      <x:c r="B3" t="str">
        <x:v>GSA / U.S. Government</x:v>
      </x:c>
      <x:c r="C3" t="str">
        <x:v>Federal disposition / sale</x:v>
      </x:c>
      <x:c r="D3"/>
      <x:c r="E3"/>
      <x:c r="F3"/>
      <x:c r="G3"/>
      <x:c r="H3" s="22" t="n">
        <x:v>24260000</x:v>
      </x:c>
      <x:c r="I3" s="22"/>
      <x:c r="J3" t="str">
        <x:v>P6 CLOSED</x:v>
      </x:c>
      <x:c r="K3" t="str">
        <x:v>S3 CLOSING_CONFIRMED</x:v>
      </x:c>
      <x:c r="L3" t="str"/>
      <x:c r="M3" t="str"/>
    </x:row>
    <x:row r="4">
      <x:c r="A4" t="str">
        <x:v>SHD-003</x:v>
      </x:c>
      <x:c r="B4" t="str">
        <x:v>GSA / U.S. Government</x:v>
      </x:c>
      <x:c r="C4" t="str">
        <x:v>Right of First Offer</x:v>
      </x:c>
      <x:c r="D4"/>
      <x:c r="E4"/>
      <x:c r="F4"/>
      <x:c r="G4"/>
      <x:c r="H4" s="22" t="n">
        <x:v>80000000</x:v>
      </x:c>
      <x:c r="I4" s="22"/>
      <x:c r="J4" t="str">
        <x:v>P6 CLOSED</x:v>
      </x:c>
      <x:c r="K4" t="str">
        <x:v>S3 CLOSING_CONFIRMED</x:v>
      </x:c>
      <x:c r="L4" t="str"/>
      <x:c r="M4" t="str">
        <x:v>Not a standard public auction.</x:v>
      </x:c>
    </x:row>
    <x:row r="5">
      <x:c r="A5" t="str">
        <x:v>SHD-004</x:v>
      </x:c>
      <x:c r="B5" t="str">
        <x:v>GSA / U.S. Government</x:v>
      </x:c>
      <x:c r="C5" t="str">
        <x:v>Federal disposition / sale</x:v>
      </x:c>
      <x:c r="D5"/>
      <x:c r="E5"/>
      <x:c r="F5"/>
      <x:c r="G5"/>
      <x:c r="H5" s="22" t="n">
        <x:v>17000000</x:v>
      </x:c>
      <x:c r="I5" s="22"/>
      <x:c r="J5" t="str">
        <x:v>P6 CLOSED</x:v>
      </x:c>
      <x:c r="K5" t="str">
        <x:v>S3 CLOSING_CONFIRMED</x:v>
      </x:c>
      <x:c r="L5" t="str"/>
      <x:c r="M5" t="str"/>
    </x:row>
    <x:row r="6">
      <x:c r="A6" t="str">
        <x:v>SHD-005</x:v>
      </x:c>
      <x:c r="B6" t="str">
        <x:v>GSA / U.S. Government</x:v>
      </x:c>
      <x:c r="C6" t="str">
        <x:v>Federal disposition / sale</x:v>
      </x:c>
      <x:c r="D6"/>
      <x:c r="E6"/>
      <x:c r="F6"/>
      <x:c r="G6"/>
      <x:c r="H6" s="22" t="n">
        <x:v>1800000</x:v>
      </x:c>
      <x:c r="I6" s="22"/>
      <x:c r="J6" t="str">
        <x:v>P6 CLOSED</x:v>
      </x:c>
      <x:c r="K6" t="str">
        <x:v>S3 CLOSING_CONFIRMED</x:v>
      </x:c>
      <x:c r="L6" t="str"/>
      <x:c r="M6" t="str"/>
    </x:row>
    <x:row r="7">
      <x:c r="A7" t="str">
        <x:v>SHD-006</x:v>
      </x:c>
      <x:c r="B7" t="str">
        <x:v>GSA / U.S. Government</x:v>
      </x:c>
      <x:c r="C7" t="str">
        <x:v>Federal disposition / sale</x:v>
      </x:c>
      <x:c r="D7"/>
      <x:c r="E7"/>
      <x:c r="F7"/>
      <x:c r="G7"/>
      <x:c r="H7" s="22" t="n">
        <x:v>2600000</x:v>
      </x:c>
      <x:c r="I7" s="22"/>
      <x:c r="J7" t="str">
        <x:v>P6 CLOSED</x:v>
      </x:c>
      <x:c r="K7" t="str">
        <x:v>S3 CLOSING_CONFIRMED</x:v>
      </x:c>
      <x:c r="L7" t="str"/>
      <x:c r="M7" t="str"/>
    </x:row>
    <x:row r="8">
      <x:c r="A8" t="str">
        <x:v>SHD-007</x:v>
      </x:c>
      <x:c r="B8" t="str">
        <x:v>GSA / U.S. Government</x:v>
      </x:c>
      <x:c r="C8" t="str">
        <x:v>Federal disposition / sale</x:v>
      </x:c>
      <x:c r="D8"/>
      <x:c r="E8"/>
      <x:c r="F8"/>
      <x:c r="G8"/>
      <x:c r="H8" s="22" t="n">
        <x:v>3580000</x:v>
      </x:c>
      <x:c r="I8" s="22"/>
      <x:c r="J8" t="str">
        <x:v>P6 CLOSED</x:v>
      </x:c>
      <x:c r="K8" t="str">
        <x:v>S3 CLOSING_CONFIRMED</x:v>
      </x:c>
      <x:c r="L8" t="str"/>
      <x:c r="M8" t="str"/>
    </x:row>
    <x:row r="9">
      <x:c r="A9" t="str">
        <x:v>SHD-008</x:v>
      </x:c>
      <x:c r="B9" t="str">
        <x:v>GSA / U.S. Government</x:v>
      </x:c>
      <x:c r="C9" t="str">
        <x:v>Federal disposition / sale</x:v>
      </x:c>
      <x:c r="D9"/>
      <x:c r="E9"/>
      <x:c r="F9"/>
      <x:c r="G9"/>
      <x:c r="H9" s="22" t="n">
        <x:v>173000</x:v>
      </x:c>
      <x:c r="I9" s="22"/>
      <x:c r="J9" t="str">
        <x:v>P6 CLOSED</x:v>
      </x:c>
      <x:c r="K9" t="str">
        <x:v>S3 CLOSING_CONFIRMED</x:v>
      </x:c>
      <x:c r="L9" t="str"/>
      <x:c r="M9" t="str"/>
    </x:row>
    <x:row r="10">
      <x:c r="A10" t="str">
        <x:v>SHD-009</x:v>
      </x:c>
      <x:c r="B10" t="str">
        <x:v>GSA / U.S. Government</x:v>
      </x:c>
      <x:c r="C10" t="str">
        <x:v>Federal disposition / sale</x:v>
      </x:c>
      <x:c r="D10"/>
      <x:c r="E10"/>
      <x:c r="F10"/>
      <x:c r="G10"/>
      <x:c r="H10" s="22" t="n">
        <x:v>3900000</x:v>
      </x:c>
      <x:c r="I10" s="22"/>
      <x:c r="J10" t="str">
        <x:v>P6 CLOSED</x:v>
      </x:c>
      <x:c r="K10" t="str">
        <x:v>S3 CLOSING_CONFIRMED</x:v>
      </x:c>
      <x:c r="L10" t="str"/>
      <x:c r="M10" t="str"/>
    </x:row>
    <x:row r="11">
      <x:c r="A11" t="str">
        <x:v>SHD-010</x:v>
      </x:c>
      <x:c r="B11" t="str">
        <x:v>GSA / U.S. Government</x:v>
      </x:c>
      <x:c r="C11" t="str">
        <x:v>Federal disposition / sale</x:v>
      </x:c>
      <x:c r="D11"/>
      <x:c r="E11"/>
      <x:c r="F11"/>
      <x:c r="G11"/>
      <x:c r="H11" s="22" t="n">
        <x:v>207000000</x:v>
      </x:c>
      <x:c r="I11" s="22"/>
      <x:c r="J11" t="str">
        <x:v>P6 CLOSED</x:v>
      </x:c>
      <x:c r="K11" t="str">
        <x:v>S3 CLOSING_CONFIRMED</x:v>
      </x:c>
      <x:c r="L11" t="str"/>
      <x:c r="M11" t="str"/>
    </x:row>
    <x:row r="12">
      <x:c r="A12" t="str">
        <x:v>SHD-011</x:v>
      </x:c>
      <x:c r="B12" t="str">
        <x:v>GSA / U.S. Government</x:v>
      </x:c>
      <x:c r="C12" t="str">
        <x:v>Federal disposition / sale</x:v>
      </x:c>
      <x:c r="D12"/>
      <x:c r="E12"/>
      <x:c r="F12"/>
      <x:c r="G12"/>
      <x:c r="H12" s="22" t="n">
        <x:v>52030000</x:v>
      </x:c>
      <x:c r="I12" s="22"/>
      <x:c r="J12" t="str">
        <x:v>P6 CLOSED</x:v>
      </x:c>
      <x:c r="K12" t="str">
        <x:v>S3 CLOSING_CONFIRMED</x:v>
      </x:c>
      <x:c r="L12" t="str"/>
      <x:c r="M12" t="str"/>
    </x:row>
    <x:row r="13">
      <x:c r="A13" t="str">
        <x:v>SHD-012</x:v>
      </x:c>
      <x:c r="B13" t="str">
        <x:v>GSA / U.S. Government</x:v>
      </x:c>
      <x:c r="C13" t="str">
        <x:v>Federal disposition / sale</x:v>
      </x:c>
      <x:c r="D13"/>
      <x:c r="E13"/>
      <x:c r="F13"/>
      <x:c r="G13"/>
      <x:c r="H13" s="22" t="n">
        <x:v>30000000</x:v>
      </x:c>
      <x:c r="I13" s="22"/>
      <x:c r="J13" t="str">
        <x:v>P6 CLOSED</x:v>
      </x:c>
      <x:c r="K13" t="str">
        <x:v>S3 CLOSING_CONFIRMED</x:v>
      </x:c>
      <x:c r="L13" t="str"/>
      <x:c r="M13" t="str"/>
    </x:row>
    <x:row r="14">
      <x:c r="A14" t="str">
        <x:v>SHD-013</x:v>
      </x:c>
      <x:c r="B14" t="str">
        <x:v>GSA / U.S. Government</x:v>
      </x:c>
      <x:c r="C14" t="str">
        <x:v>Federal disposition / sale</x:v>
      </x:c>
      <x:c r="D14"/>
      <x:c r="E14"/>
      <x:c r="F14"/>
      <x:c r="G14"/>
      <x:c r="H14" s="22" t="n">
        <x:v>1680000</x:v>
      </x:c>
      <x:c r="I14" s="22"/>
      <x:c r="J14" t="str">
        <x:v>P6 CLOSED</x:v>
      </x:c>
      <x:c r="K14" t="str">
        <x:v>S3 CLOSING_CONFIRMED</x:v>
      </x:c>
      <x:c r="L14" t="str"/>
      <x:c r="M14" t="str"/>
    </x:row>
    <x:row r="15">
      <x:c r="A15" t="str">
        <x:v>SHD-014</x:v>
      </x:c>
      <x:c r="B15" t="str">
        <x:v>GSA / U.S. Government</x:v>
      </x:c>
      <x:c r="C15" t="str">
        <x:v>Federal disposition / sale</x:v>
      </x:c>
      <x:c r="D15"/>
      <x:c r="E15"/>
      <x:c r="F15"/>
      <x:c r="G15"/>
      <x:c r="H15" s="22" t="n">
        <x:v>340000</x:v>
      </x:c>
      <x:c r="I15" s="22"/>
      <x:c r="J15" t="str">
        <x:v>P6 CLOSED</x:v>
      </x:c>
      <x:c r="K15" t="str">
        <x:v>S3 CLOSING_CONFIRMED</x:v>
      </x:c>
      <x:c r="L15" t="str"/>
      <x:c r="M15" t="str"/>
    </x:row>
    <x:row r="16">
      <x:c r="A16" t="str">
        <x:v>SHD-015</x:v>
      </x:c>
      <x:c r="B16" t="str">
        <x:v>GSA / U.S. Government</x:v>
      </x:c>
      <x:c r="C16" t="str">
        <x:v>Federal disposition / sale</x:v>
      </x:c>
      <x:c r="D16"/>
      <x:c r="E16"/>
      <x:c r="F16"/>
      <x:c r="G16"/>
      <x:c r="H16" s="22"/>
      <x:c r="I16" s="22"/>
      <x:c r="J16" t="str">
        <x:v>P6 CLOSED</x:v>
      </x:c>
      <x:c r="K16" t="str">
        <x:v>S3 CLOSING_CONFIRMED</x:v>
      </x:c>
      <x:c r="L16" t="str"/>
      <x:c r="M16" t="str"/>
    </x:row>
    <x:row r="17">
      <x:c r="A17" t="str">
        <x:v>SHD-016</x:v>
      </x:c>
      <x:c r="B17" t="str">
        <x:v>GSA / U.S. Government</x:v>
      </x:c>
      <x:c r="C17" t="str">
        <x:v>Federal disposition / sale</x:v>
      </x:c>
      <x:c r="D17"/>
      <x:c r="E17"/>
      <x:c r="F17"/>
      <x:c r="G17"/>
      <x:c r="H17" s="22"/>
      <x:c r="I17" s="22"/>
      <x:c r="J17" t="str">
        <x:v>P6 CLOSED</x:v>
      </x:c>
      <x:c r="K17" t="str">
        <x:v>S3 CLOSING_CONFIRMED</x:v>
      </x:c>
      <x:c r="L17" t="str"/>
      <x:c r="M17" t="str"/>
    </x:row>
    <x:row r="18">
      <x:c r="A18" t="str">
        <x:v>SHD-017</x:v>
      </x:c>
      <x:c r="B18" t="str">
        <x:v>GSA / U.S. Government</x:v>
      </x:c>
      <x:c r="C18" t="str">
        <x:v>Federal disposition / sale</x:v>
      </x:c>
      <x:c r="D18"/>
      <x:c r="E18"/>
      <x:c r="F18"/>
      <x:c r="G18"/>
      <x:c r="H18" s="22" t="n">
        <x:v>3490000</x:v>
      </x:c>
      <x:c r="I18" s="22"/>
      <x:c r="J18" t="str">
        <x:v>P6 CLOSED</x:v>
      </x:c>
      <x:c r="K18" t="str">
        <x:v>S3 CLOSING_CONFIRMED</x:v>
      </x:c>
      <x:c r="L18" t="str"/>
      <x:c r="M18" t="str"/>
    </x:row>
    <x:row r="19">
      <x:c r="A19" t="str">
        <x:v>SHD-018</x:v>
      </x:c>
      <x:c r="B19" t="str">
        <x:v>GSA / U.S. Government</x:v>
      </x:c>
      <x:c r="C19" t="str">
        <x:v>Federal disposition / sale</x:v>
      </x:c>
      <x:c r="D19"/>
      <x:c r="E19"/>
      <x:c r="F19"/>
      <x:c r="G19"/>
      <x:c r="H19" s="22" t="n">
        <x:v>625151</x:v>
      </x:c>
      <x:c r="I19" s="22"/>
      <x:c r="J19" t="str">
        <x:v>P6 CLOSED</x:v>
      </x:c>
      <x:c r="K19" t="str">
        <x:v>S4 DEED_CONFIRMED</x:v>
      </x:c>
      <x:c r="L19" t="str"/>
      <x:c r="M19" t="str"/>
    </x:row>
    <x:row r="20">
      <x:c r="A20" t="str">
        <x:v>SHD-019</x:v>
      </x:c>
      <x:c r="B20" t="str">
        <x:v>GSA / U.S. Government</x:v>
      </x:c>
      <x:c r="C20" t="str">
        <x:v>Federal disposition / sale</x:v>
      </x:c>
      <x:c r="D20"/>
      <x:c r="E20"/>
      <x:c r="F20"/>
      <x:c r="G20"/>
      <x:c r="H20" s="22" t="n">
        <x:v>1175000</x:v>
      </x:c>
      <x:c r="I20" s="22"/>
      <x:c r="J20" t="str">
        <x:v>P6 CLOSED</x:v>
      </x:c>
      <x:c r="K20" t="str">
        <x:v>S3 CLOSING_CONFIRMED</x:v>
      </x:c>
      <x:c r="L20" t="str"/>
      <x:c r="M20" t="str"/>
    </x:row>
    <x:row r="21">
      <x:c r="A21" t="str">
        <x:v>SHD-020</x:v>
      </x:c>
      <x:c r="B21" t="str">
        <x:v>GSA / U.S. Government</x:v>
      </x:c>
      <x:c r="C21" t="str">
        <x:v>Federal disposition / sale</x:v>
      </x:c>
      <x:c r="D21"/>
      <x:c r="E21"/>
      <x:c r="F21"/>
      <x:c r="G21"/>
      <x:c r="H21" s="22" t="n">
        <x:v>1642030</x:v>
      </x:c>
      <x:c r="I21" s="22"/>
      <x:c r="J21" t="str">
        <x:v>P6 CLOSED</x:v>
      </x:c>
      <x:c r="K21" t="str">
        <x:v>S3 CLOSING_CONFIRMED</x:v>
      </x:c>
      <x:c r="L21" t="str"/>
      <x:c r="M21" t="str"/>
    </x:row>
    <x:row r="22">
      <x:c r="A22" t="str">
        <x:v>SHD-021</x:v>
      </x:c>
      <x:c r="B22" t="str">
        <x:v>GSA / U.S. Government</x:v>
      </x:c>
      <x:c r="C22" t="str">
        <x:v>Federal disposition / sale</x:v>
      </x:c>
      <x:c r="D22"/>
      <x:c r="E22"/>
      <x:c r="F22"/>
      <x:c r="G22"/>
      <x:c r="H22" s="22" t="n">
        <x:v>730000</x:v>
      </x:c>
      <x:c r="I22" s="22"/>
      <x:c r="J22" t="str">
        <x:v>P6 CLOSED</x:v>
      </x:c>
      <x:c r="K22" t="str">
        <x:v>S3 CLOSING_CONFIRMED</x:v>
      </x:c>
      <x:c r="L22" t="str"/>
      <x:c r="M22" t="str"/>
    </x:row>
    <x:row r="23">
      <x:c r="A23" t="str">
        <x:v>SHD-022</x:v>
      </x:c>
      <x:c r="B23" t="str">
        <x:v>GSA / U.S. Government</x:v>
      </x:c>
      <x:c r="C23" t="str">
        <x:v>Federal disposition / sale</x:v>
      </x:c>
      <x:c r="D23"/>
      <x:c r="E23"/>
      <x:c r="F23"/>
      <x:c r="G23"/>
      <x:c r="H23" s="22" t="n">
        <x:v>625000</x:v>
      </x:c>
      <x:c r="I23" s="22"/>
      <x:c r="J23" t="str">
        <x:v>P6 CLOSED</x:v>
      </x:c>
      <x:c r="K23" t="str">
        <x:v>S3 CLOSING_CONFIRMED</x:v>
      </x:c>
      <x:c r="L23" t="str"/>
      <x:c r="M23" t="str"/>
    </x:row>
    <x:row r="24">
      <x:c r="A24" t="str">
        <x:v>SHD-023</x:v>
      </x:c>
      <x:c r="B24" t="str">
        <x:v>GSA / U.S. Government</x:v>
      </x:c>
      <x:c r="C24" t="str">
        <x:v>Federal disposition / sale</x:v>
      </x:c>
      <x:c r="D24"/>
      <x:c r="E24"/>
      <x:c r="F24"/>
      <x:c r="G24"/>
      <x:c r="H24" s="22" t="n">
        <x:v>610000</x:v>
      </x:c>
      <x:c r="I24" s="22"/>
      <x:c r="J24" t="str">
        <x:v>P6 CLOSED</x:v>
      </x:c>
      <x:c r="K24" t="str">
        <x:v>S3 CLOSING_CONFIRMED</x:v>
      </x:c>
      <x:c r="L24" t="str"/>
      <x:c r="M24" t="str"/>
    </x:row>
    <x:row r="25">
      <x:c r="A25" t="str">
        <x:v>SHD-024</x:v>
      </x:c>
      <x:c r="B25" t="str">
        <x:v>GSA / U.S. Government</x:v>
      </x:c>
      <x:c r="C25" t="str">
        <x:v>Federal disposition / sale</x:v>
      </x:c>
      <x:c r="D25"/>
      <x:c r="E25"/>
      <x:c r="F25"/>
      <x:c r="G25"/>
      <x:c r="H25" s="22" t="n">
        <x:v>425000</x:v>
      </x:c>
      <x:c r="I25" s="22"/>
      <x:c r="J25" t="str">
        <x:v>P6 CLOSED</x:v>
      </x:c>
      <x:c r="K25" t="str">
        <x:v>S3 CLOSING_CONFIRMED</x:v>
      </x:c>
      <x:c r="L25" t="str"/>
      <x:c r="M25" t="str"/>
    </x:row>
    <x:row r="26">
      <x:c r="A26" t="str">
        <x:v>SHD-025</x:v>
      </x:c>
      <x:c r="B26" t="str">
        <x:v>GSA / U.S. Government</x:v>
      </x:c>
      <x:c r="C26" t="str">
        <x:v>Federal disposition / sale</x:v>
      </x:c>
      <x:c r="D26"/>
      <x:c r="E26"/>
      <x:c r="F26"/>
      <x:c r="G26"/>
      <x:c r="H26" s="22" t="n">
        <x:v>83500</x:v>
      </x:c>
      <x:c r="I26" s="22"/>
      <x:c r="J26" t="str">
        <x:v>P6 CLOSED</x:v>
      </x:c>
      <x:c r="K26" t="str">
        <x:v>S3 CLOSING_CONFIRMED</x:v>
      </x:c>
      <x:c r="L26" t="str"/>
      <x:c r="M26" t="str"/>
    </x:row>
    <x:row r="27">
      <x:c r="A27" t="str">
        <x:v>SHD-026</x:v>
      </x:c>
      <x:c r="B27" t="str">
        <x:v>GSA / U.S. Government</x:v>
      </x:c>
      <x:c r="C27" t="str">
        <x:v>Auction</x:v>
      </x:c>
      <x:c r="D27"/>
      <x:c r="E27"/>
      <x:c r="F27"/>
      <x:c r="G27"/>
      <x:c r="H27" s="22"/>
      <x:c r="I27" s="22" t="n">
        <x:v>3100000</x:v>
      </x:c>
      <x:c r="J27" t="str">
        <x:v>P4 HIGH_BIDDER</x:v>
      </x:c>
      <x:c r="K27" t="str">
        <x:v>S1 AUCTION_COMPLETED</x:v>
      </x:c>
      <x:c r="L27" t="str"/>
      <x:c r="M27" t="str"/>
    </x:row>
    <x:row r="28">
      <x:c r="A28" t="str">
        <x:v>SHD-027</x:v>
      </x:c>
      <x:c r="B28" t="str">
        <x:v>GSA / U.S. Government</x:v>
      </x:c>
      <x:c r="C28" t="str">
        <x:v>Auction</x:v>
      </x:c>
      <x:c r="D28"/>
      <x:c r="E28"/>
      <x:c r="F28"/>
      <x:c r="G28"/>
      <x:c r="H28" s="22"/>
      <x:c r="I28" s="22" t="n">
        <x:v>540000</x:v>
      </x:c>
      <x:c r="J28" t="str">
        <x:v>P4 HIGH_BIDDER</x:v>
      </x:c>
      <x:c r="K28" t="str">
        <x:v>S1 AUCTION_COMPLETED</x:v>
      </x:c>
      <x:c r="L28" t="str"/>
      <x:c r="M28" t="str"/>
    </x:row>
    <x:row r="29">
      <x:c r="A29" t="str">
        <x:v>SHD-028</x:v>
      </x:c>
      <x:c r="B29" t="str">
        <x:v>GSA / U.S. Government</x:v>
      </x:c>
      <x:c r="C29" t="str">
        <x:v>Sealed bid</x:v>
      </x:c>
      <x:c r="D29"/>
      <x:c r="E29"/>
      <x:c r="F29"/>
      <x:c r="G29"/>
      <x:c r="H29" s="22"/>
      <x:c r="I29" s="22" t="n">
        <x:v>15000000</x:v>
      </x:c>
      <x:c r="J29" t="str">
        <x:v>P5 UNDER_CONTRACT</x:v>
      </x:c>
      <x:c r="K29" t="str">
        <x:v>S2 AWARD_ANNOUNCED</x:v>
      </x:c>
      <x:c r="L29" t="str"/>
      <x:c r="M29" t="str">
        <x:v>$15M minimum bid reported; not consideration.</x:v>
      </x:c>
    </x:row>
    <x:row r="30">
      <x:c r="A30" t="str">
        <x:v>SHD-029</x:v>
      </x:c>
      <x:c r="B30" t="str">
        <x:v>GSA / U.S. Government</x:v>
      </x:c>
      <x:c r="C30" t="str">
        <x:v>Accelerated disposition / pending</x:v>
      </x:c>
      <x:c r="D30"/>
      <x:c r="E30"/>
      <x:c r="F30"/>
      <x:c r="G30"/>
      <x:c r="H30" s="22"/>
      <x:c r="I30" s="22"/>
      <x:c r="J30" t="str">
        <x:v>P2 MARKETED</x:v>
      </x:c>
      <x:c r="K30" t="str">
        <x:v>S0 LISTED</x:v>
      </x:c>
      <x:c r="L30" t="str"/>
      <x:c r="M30" t="str"/>
    </x:row>
    <x:row r="31">
      <x:c r="A31" t="str">
        <x:v>SHD-030</x:v>
      </x:c>
      <x:c r="B31" t="str">
        <x:v>GSA / U.S. Government</x:v>
      </x:c>
      <x:c r="C31" t="str">
        <x:v>Accelerated disposition / pending</x:v>
      </x:c>
      <x:c r="D31"/>
      <x:c r="E31"/>
      <x:c r="F31"/>
      <x:c r="G31"/>
      <x:c r="H31" s="22"/>
      <x:c r="I31" s="22"/>
      <x:c r="J31" t="str">
        <x:v>P2 MARKETED</x:v>
      </x:c>
      <x:c r="K31" t="str">
        <x:v>S0 LISTED</x:v>
      </x:c>
      <x:c r="L31" t="str"/>
      <x:c r="M31" t="str"/>
    </x:row>
    <x:row r="32">
      <x:c r="A32" t="str">
        <x:v>SHD-031</x:v>
      </x:c>
      <x:c r="B32" t="str">
        <x:v>GSA / U.S. Government</x:v>
      </x:c>
      <x:c r="C32" t="str">
        <x:v>Accelerated disposition / pending</x:v>
      </x:c>
      <x:c r="D32"/>
      <x:c r="E32"/>
      <x:c r="F32"/>
      <x:c r="G32"/>
      <x:c r="H32" s="22"/>
      <x:c r="I32" s="22"/>
      <x:c r="J32" t="str">
        <x:v>P1 REVIEW</x:v>
      </x:c>
      <x:c r="K32" t="str">
        <x:v>S0 LISTED</x:v>
      </x:c>
      <x:c r="L32" t="str"/>
      <x:c r="M32" t="str"/>
    </x:row>
    <x:row r="33">
      <x:c r="A33" t="str">
        <x:v>SHD-032</x:v>
      </x:c>
      <x:c r="B33" t="str">
        <x:v>GSA / U.S. Government</x:v>
      </x:c>
      <x:c r="C33" t="str">
        <x:v>Accelerated disposition / pending</x:v>
      </x:c>
      <x:c r="D33"/>
      <x:c r="E33"/>
      <x:c r="F33"/>
      <x:c r="G33"/>
      <x:c r="H33" s="22"/>
      <x:c r="I33" s="22"/>
      <x:c r="J33" t="str">
        <x:v>P1 REVIEW</x:v>
      </x:c>
      <x:c r="K33" t="str">
        <x:v>S0 LISTED</x:v>
      </x:c>
      <x:c r="L33" t="str"/>
      <x:c r="M33" t="str"/>
    </x:row>
    <x:row r="34">
      <x:c r="A34" t="str">
        <x:v>SHD-033</x:v>
      </x:c>
      <x:c r="B34" t="str">
        <x:v>GSA / U.S. Government</x:v>
      </x:c>
      <x:c r="C34" t="str">
        <x:v>Accelerated disposition / pending</x:v>
      </x:c>
      <x:c r="D34"/>
      <x:c r="E34"/>
      <x:c r="F34"/>
      <x:c r="G34"/>
      <x:c r="H34" s="22"/>
      <x:c r="I34" s="22"/>
      <x:c r="J34" t="str">
        <x:v>P2 MARKETED</x:v>
      </x:c>
      <x:c r="K34" t="str">
        <x:v>S0 LISTED</x:v>
      </x:c>
      <x:c r="L34" t="str"/>
      <x:c r="M34" t="str"/>
    </x:row>
    <x:row r="35">
      <x:c r="A35" t="str">
        <x:v>SHD-034</x:v>
      </x:c>
      <x:c r="B35" t="str">
        <x:v>GSA / U.S. Government</x:v>
      </x:c>
      <x:c r="C35" t="str">
        <x:v>Accelerated disposition / pending</x:v>
      </x:c>
      <x:c r="D35"/>
      <x:c r="E35"/>
      <x:c r="F35"/>
      <x:c r="G35"/>
      <x:c r="H35" s="22"/>
      <x:c r="I35" s="22"/>
      <x:c r="J35" t="str">
        <x:v>P2 MARKETED</x:v>
      </x:c>
      <x:c r="K35" t="str">
        <x:v>S0 LISTED</x:v>
      </x:c>
      <x:c r="L35" t="str"/>
      <x:c r="M35" t="str"/>
    </x:row>
    <x:row r="36">
      <x:c r="A36" t="str">
        <x:v>SHD-035</x:v>
      </x:c>
      <x:c r="B36" t="str">
        <x:v>GSA / U.S. Government</x:v>
      </x:c>
      <x:c r="C36" t="str">
        <x:v>Accelerated disposition / pending</x:v>
      </x:c>
      <x:c r="D36"/>
      <x:c r="E36"/>
      <x:c r="F36"/>
      <x:c r="G36"/>
      <x:c r="H36" s="22"/>
      <x:c r="I36" s="22"/>
      <x:c r="J36" t="str">
        <x:v>P2 MARKETED</x:v>
      </x:c>
      <x:c r="K36" t="str">
        <x:v>S0 LISTED</x:v>
      </x:c>
      <x:c r="L36" t="str"/>
      <x:c r="M36" t="str"/>
    </x:row>
    <x:row r="37">
      <x:c r="A37" t="str">
        <x:v>SHD-036</x:v>
      </x:c>
      <x:c r="B37" t="str">
        <x:v>GSA / U.S. Government</x:v>
      </x:c>
      <x:c r="C37" t="str">
        <x:v>Accelerated disposition / pending</x:v>
      </x:c>
      <x:c r="D37"/>
      <x:c r="E37"/>
      <x:c r="F37"/>
      <x:c r="G37"/>
      <x:c r="H37" s="22"/>
      <x:c r="I37" s="22"/>
      <x:c r="J37" t="str">
        <x:v>P2 MARKETED</x:v>
      </x:c>
      <x:c r="K37" t="str">
        <x:v>S0 LISTED</x:v>
      </x:c>
      <x:c r="L37" t="str"/>
      <x:c r="M37" t="str"/>
    </x:row>
  </x:sheetData>
  <x:pageMargins left="0.7" right="0.7" top="0.75" bottom="0.75" header="0.3" footer="0.3"/>
  <x:tableParts count="1">
    <x:tablePart xmlns:r="http://schemas.openxmlformats.org/officeDocument/2006/relationships" r:id="Rb964a929414541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2" hidden="0" customWidth="1"/>
    <x:col min="5" max="5" width="28" hidden="0" customWidth="1"/>
    <x:col min="6" max="6" width="20" hidden="0" customWidth="1"/>
    <x:col min="7" max="7" width="22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28" hidden="0" customWidth="1"/>
    <x:col min="16" max="16" width="18" hidden="0" customWidth="1"/>
    <x:col min="17" max="17" width="24" hidden="0" customWidth="1"/>
    <x:col min="18" max="18" width="25" hidden="0" customWidth="1"/>
    <x:col min="19" max="19" width="14" hidden="0" customWidth="1"/>
    <x:col min="20" max="20" width="14" hidden="0" customWidth="1"/>
    <x:col min="21" max="21" width="48" hidden="0" customWidth="1"/>
  </x:cols>
  <x:sheetData>
    <x:row r="1" ht="30" customHeight="1">
      <x:c r="A1" s="18" t="str">
        <x:v>Asset_ID</x:v>
      </x:c>
      <x:c r="B1" s="18" t="str">
        <x:v>Asset_Identity_State</x:v>
      </x:c>
      <x:c r="C1" s="18" t="str">
        <x:v>Authoritative_Source</x:v>
      </x:c>
      <x:c r="D1" s="18" t="str">
        <x:v>Parcel_or_Record_ID</x:v>
      </x:c>
      <x:c r="E1" s="18" t="str">
        <x:v>Title_Verification_State</x:v>
      </x:c>
      <x:c r="F1" s="18" t="str">
        <x:v>Verified_By</x:v>
      </x:c>
      <x:c r="G1" s="18" t="str">
        <x:v>Verifier_Credential</x:v>
      </x:c>
      <x:c r="H1" s="18" t="str">
        <x:v>Verified_At</x:v>
      </x:c>
      <x:c r="I1" s="18" t="str">
        <x:v>Record_Effective_At</x:v>
      </x:c>
      <x:c r="J1" s="18" t="str">
        <x:v>Provenance_State</x:v>
      </x:c>
      <x:c r="K1" s="18" t="str">
        <x:v>Rights_State</x:v>
      </x:c>
      <x:c r="L1" s="18" t="str">
        <x:v>Encumbrance_State</x:v>
      </x:c>
      <x:c r="M1" s="18" t="str">
        <x:v>Claims_State</x:v>
      </x:c>
      <x:c r="N1" s="18" t="str">
        <x:v>Obligations_State</x:v>
      </x:c>
      <x:c r="O1" s="18" t="str">
        <x:v>Environmental_State</x:v>
      </x:c>
      <x:c r="P1" s="18" t="str">
        <x:v>Authority_State</x:v>
      </x:c>
      <x:c r="Q1" s="18" t="str">
        <x:v>Transfer_State</x:v>
      </x:c>
      <x:c r="R1" s="18" t="str">
        <x:v>M5MST_State</x:v>
      </x:c>
      <x:c r="S1" s="18" t="str">
        <x:v>TSI_Score_0_100</x:v>
      </x:c>
      <x:c r="T1" s="18" t="str">
        <x:v>TSI_Status</x:v>
      </x:c>
      <x:c r="U1" s="18" t="str">
        <x:v>Title_State_Notes</x:v>
      </x:c>
    </x:row>
    <x:row r="2">
      <x:c r="A2" t="str">
        <x:v>SHD-001</x:v>
      </x:c>
      <x:c r="B2" t="str">
        <x:v>IDENTIFIED</x:v>
      </x:c>
      <x:c r="C2" t="str"/>
      <x:c r="D2" t="str"/>
      <x:c r="E2" t="str">
        <x:v>SOURCE_LOCATED</x:v>
      </x:c>
      <x:c r="F2" t="str"/>
      <x:c r="G2" t="str"/>
      <x:c r="H2" t="str"/>
      <x:c r="I2" t="str"/>
      <x:c r="J2" t="str">
        <x:v>PARTIAL</x:v>
      </x:c>
      <x:c r="K2" t="str">
        <x:v>UNASSESSED</x:v>
      </x:c>
      <x:c r="L2" t="str">
        <x:v>UNASSESSED</x:v>
      </x:c>
      <x:c r="M2" t="str">
        <x:v>UNASSESSED</x:v>
      </x:c>
      <x:c r="N2" t="str">
        <x:v>UNASSESSED</x:v>
      </x:c>
      <x:c r="O2" t="str">
        <x:v>UNASSESSED</x:v>
      </x:c>
      <x:c r="P2" t="str">
        <x:v>UNASSESSED</x:v>
      </x:c>
      <x:c r="Q2" t="str">
        <x:v>TRANSFER_RECORDED</x:v>
      </x:c>
      <x:c r="R2" t="str">
        <x:v>TRANSFER AUTHORITY — REVIEW</x:v>
      </x:c>
      <x:c r="S2"/>
      <x:c r="T2" t="str">
        <x:v>NOT SCORED</x:v>
      </x:c>
      <x:c r="U2" t="str">
        <x:v>TITLE REVIEW NEEDED</x:v>
      </x:c>
    </x:row>
    <x:row r="3">
      <x:c r="A3" t="str">
        <x:v>SHD-002</x:v>
      </x:c>
      <x:c r="B3" t="str">
        <x:v>IDENTIFIED</x:v>
      </x:c>
      <x:c r="C3" t="str"/>
      <x:c r="D3" t="str"/>
      <x:c r="E3" t="str">
        <x:v>SOURCE_LOCATED</x:v>
      </x:c>
      <x:c r="F3" t="str"/>
      <x:c r="G3" t="str"/>
      <x:c r="H3" t="str"/>
      <x:c r="I3" t="str"/>
      <x:c r="J3" t="str">
        <x:v>PARTIAL</x:v>
      </x:c>
      <x:c r="K3" t="str">
        <x:v>UNASSESSED</x:v>
      </x:c>
      <x:c r="L3" t="str">
        <x:v>UNASSESSED</x:v>
      </x:c>
      <x:c r="M3" t="str">
        <x:v>UNASSESSED</x:v>
      </x:c>
      <x:c r="N3" t="str">
        <x:v>UNASSESSED</x:v>
      </x:c>
      <x:c r="O3" t="str">
        <x:v>UNASSESSED</x:v>
      </x:c>
      <x:c r="P3" t="str">
        <x:v>UNASSESSED</x:v>
      </x:c>
      <x:c r="Q3" t="str">
        <x:v>TRANSFER_RECORDED</x:v>
      </x:c>
      <x:c r="R3" t="str">
        <x:v>TRANSFER AUTHORITY — REVIEW</x:v>
      </x:c>
      <x:c r="S3"/>
      <x:c r="T3" t="str">
        <x:v>NOT SCORED</x:v>
      </x:c>
      <x:c r="U3" t="str">
        <x:v>TITLE REVIEW NEEDED</x:v>
      </x:c>
    </x:row>
    <x:row r="4">
      <x:c r="A4" t="str">
        <x:v>SHD-003</x:v>
      </x:c>
      <x:c r="B4" t="str">
        <x:v>IDENTIFIED</x:v>
      </x:c>
      <x:c r="C4" t="str"/>
      <x:c r="D4" t="str"/>
      <x:c r="E4" t="str">
        <x:v>SOURCE_LOCATED</x:v>
      </x:c>
      <x:c r="F4" t="str"/>
      <x:c r="G4" t="str"/>
      <x:c r="H4" t="str"/>
      <x:c r="I4" t="str"/>
      <x:c r="J4" t="str">
        <x:v>PARTIAL</x:v>
      </x:c>
      <x:c r="K4" t="str">
        <x:v>UNASSESSED</x:v>
      </x:c>
      <x:c r="L4" t="str">
        <x:v>UNASSESSED</x:v>
      </x:c>
      <x:c r="M4" t="str">
        <x:v>UNASSESSED</x:v>
      </x:c>
      <x:c r="N4" t="str">
        <x:v>UNASSESSED</x:v>
      </x:c>
      <x:c r="O4" t="str">
        <x:v>UNASSESSED</x:v>
      </x:c>
      <x:c r="P4" t="str">
        <x:v>UNASSESSED</x:v>
      </x:c>
      <x:c r="Q4" t="str">
        <x:v>TRANSFER_RECORDED</x:v>
      </x:c>
      <x:c r="R4" t="str">
        <x:v>TRANSFER AUTHORITY — REVIEW</x:v>
      </x:c>
      <x:c r="S4"/>
      <x:c r="T4" t="str">
        <x:v>NOT SCORED</x:v>
      </x:c>
      <x:c r="U4" t="str">
        <x:v>TITLE / LEASEHOLD REVIEW NEEDED</x:v>
      </x:c>
    </x:row>
    <x:row r="5">
      <x:c r="A5" t="str">
        <x:v>SHD-004</x:v>
      </x:c>
      <x:c r="B5" t="str">
        <x:v>IDENTIFIED</x:v>
      </x:c>
      <x:c r="C5" t="str"/>
      <x:c r="D5" t="str"/>
      <x:c r="E5" t="str">
        <x:v>SOURCE_LOCATED</x:v>
      </x:c>
      <x:c r="F5" t="str"/>
      <x:c r="G5" t="str"/>
      <x:c r="H5" t="str"/>
      <x:c r="I5" t="str"/>
      <x:c r="J5" t="str">
        <x:v>PARTIAL</x:v>
      </x:c>
      <x:c r="K5" t="str">
        <x:v>UNASSESSED</x:v>
      </x:c>
      <x:c r="L5" t="str">
        <x:v>UNASSESSED</x:v>
      </x:c>
      <x:c r="M5" t="str">
        <x:v>UNASSESSED</x:v>
      </x:c>
      <x:c r="N5" t="str">
        <x:v>UNASSESSED</x:v>
      </x:c>
      <x:c r="O5" t="str">
        <x:v>UNASSESSED</x:v>
      </x:c>
      <x:c r="P5" t="str">
        <x:v>UNASSESSED</x:v>
      </x:c>
      <x:c r="Q5" t="str">
        <x:v>TRANSFER_RECORDED</x:v>
      </x:c>
      <x:c r="R5" t="str">
        <x:v>TRANSFER AUTHORITY — REVIEW</x:v>
      </x:c>
      <x:c r="S5"/>
      <x:c r="T5" t="str">
        <x:v>NOT SCORED</x:v>
      </x:c>
      <x:c r="U5" t="str">
        <x:v>TITLE REVIEW NEEDED</x:v>
      </x:c>
    </x:row>
    <x:row r="6">
      <x:c r="A6" t="str">
        <x:v>SHD-005</x:v>
      </x:c>
      <x:c r="B6" t="str">
        <x:v>IDENTIFIED</x:v>
      </x:c>
      <x:c r="C6" t="str"/>
      <x:c r="D6" t="str"/>
      <x:c r="E6" t="str">
        <x:v>SOURCE_LOCATED</x:v>
      </x:c>
      <x:c r="F6" t="str"/>
      <x:c r="G6" t="str"/>
      <x:c r="H6" t="str"/>
      <x:c r="I6" t="str"/>
      <x:c r="J6" t="str">
        <x:v>PARTIAL</x:v>
      </x:c>
      <x:c r="K6" t="str">
        <x:v>UNASSESSED</x:v>
      </x:c>
      <x:c r="L6" t="str">
        <x:v>UNASSESSED</x:v>
      </x:c>
      <x:c r="M6" t="str">
        <x:v>UNASSESSED</x:v>
      </x:c>
      <x:c r="N6" t="str">
        <x:v>UNASSESSED</x:v>
      </x:c>
      <x:c r="O6" t="str">
        <x:v>UNASSESSED</x:v>
      </x:c>
      <x:c r="P6" t="str">
        <x:v>UNASSESSED</x:v>
      </x:c>
      <x:c r="Q6" t="str">
        <x:v>TRANSFER_RECORDED</x:v>
      </x:c>
      <x:c r="R6" t="str">
        <x:v>TRANSFER AUTHORITY — REVIEW</x:v>
      </x:c>
      <x:c r="S6"/>
      <x:c r="T6" t="str">
        <x:v>NOT SCORED</x:v>
      </x:c>
      <x:c r="U6" t="str">
        <x:v>TITLE REVIEW NEEDED</x:v>
      </x:c>
    </x:row>
    <x:row r="7">
      <x:c r="A7" t="str">
        <x:v>SHD-006</x:v>
      </x:c>
      <x:c r="B7" t="str">
        <x:v>IDENTIFIED</x:v>
      </x:c>
      <x:c r="C7" t="str"/>
      <x:c r="D7" t="str"/>
      <x:c r="E7" t="str">
        <x:v>SOURCE_LOCATED</x:v>
      </x:c>
      <x:c r="F7" t="str"/>
      <x:c r="G7" t="str"/>
      <x:c r="H7" t="str"/>
      <x:c r="I7" t="str"/>
      <x:c r="J7" t="str">
        <x:v>PARTIAL</x:v>
      </x:c>
      <x:c r="K7" t="str">
        <x:v>UNASSESSED</x:v>
      </x:c>
      <x:c r="L7" t="str">
        <x:v>UNASSESSED</x:v>
      </x:c>
      <x:c r="M7" t="str">
        <x:v>UNASSESSED</x:v>
      </x:c>
      <x:c r="N7" t="str">
        <x:v>UNASSESSED</x:v>
      </x:c>
      <x:c r="O7" t="str">
        <x:v>UNASSESSED</x:v>
      </x:c>
      <x:c r="P7" t="str">
        <x:v>UNASSESSED</x:v>
      </x:c>
      <x:c r="Q7" t="str">
        <x:v>TRANSFER_RECORDED</x:v>
      </x:c>
      <x:c r="R7" t="str">
        <x:v>TRANSFER AUTHORITY — REVIEW</x:v>
      </x:c>
      <x:c r="S7"/>
      <x:c r="T7" t="str">
        <x:v>NOT SCORED</x:v>
      </x:c>
      <x:c r="U7" t="str">
        <x:v>TITLE REVIEW NEEDED</x:v>
      </x:c>
    </x:row>
    <x:row r="8">
      <x:c r="A8" t="str">
        <x:v>SHD-007</x:v>
      </x:c>
      <x:c r="B8" t="str">
        <x:v>IDENTIFIED</x:v>
      </x:c>
      <x:c r="C8" t="str"/>
      <x:c r="D8" t="str"/>
      <x:c r="E8" t="str">
        <x:v>SOURCE_LOCATED</x:v>
      </x:c>
      <x:c r="F8" t="str"/>
      <x:c r="G8" t="str"/>
      <x:c r="H8" t="str"/>
      <x:c r="I8" t="str"/>
      <x:c r="J8" t="str">
        <x:v>PARTIAL</x:v>
      </x:c>
      <x:c r="K8" t="str">
        <x:v>UNASSESSED</x:v>
      </x:c>
      <x:c r="L8" t="str">
        <x:v>UNASSESSED</x:v>
      </x:c>
      <x:c r="M8" t="str">
        <x:v>UNASSESSED</x:v>
      </x:c>
      <x:c r="N8" t="str">
        <x:v>UNASSESSED</x:v>
      </x:c>
      <x:c r="O8" t="str">
        <x:v>UNASSESSED</x:v>
      </x:c>
      <x:c r="P8" t="str">
        <x:v>UNASSESSED</x:v>
      </x:c>
      <x:c r="Q8" t="str">
        <x:v>TRANSFER_RECORDED</x:v>
      </x:c>
      <x:c r="R8" t="str">
        <x:v>TRANSFER AUTHORITY — REVIEW</x:v>
      </x:c>
      <x:c r="S8"/>
      <x:c r="T8" t="str">
        <x:v>NOT SCORED</x:v>
      </x:c>
      <x:c r="U8" t="str">
        <x:v>TITLE / ENVIRONMENTAL REVIEW NEEDED</x:v>
      </x:c>
    </x:row>
    <x:row r="9">
      <x:c r="A9" t="str">
        <x:v>SHD-008</x:v>
      </x:c>
      <x:c r="B9" t="str">
        <x:v>IDENTIFIED</x:v>
      </x:c>
      <x:c r="C9" t="str"/>
      <x:c r="D9" t="str"/>
      <x:c r="E9" t="str">
        <x:v>SOURCE_LOCATED</x:v>
      </x:c>
      <x:c r="F9" t="str"/>
      <x:c r="G9" t="str"/>
      <x:c r="H9" t="str"/>
      <x:c r="I9" t="str"/>
      <x:c r="J9" t="str">
        <x:v>PARTIAL</x:v>
      </x:c>
      <x:c r="K9" t="str">
        <x:v>UNASSESSED</x:v>
      </x:c>
      <x:c r="L9" t="str">
        <x:v>UNASSESSED</x:v>
      </x:c>
      <x:c r="M9" t="str">
        <x:v>UNASSESSED</x:v>
      </x:c>
      <x:c r="N9" t="str">
        <x:v>UNASSESSED</x:v>
      </x:c>
      <x:c r="O9" t="str">
        <x:v>UNASSESSED</x:v>
      </x:c>
      <x:c r="P9" t="str">
        <x:v>UNASSESSED</x:v>
      </x:c>
      <x:c r="Q9" t="str">
        <x:v>TRANSFER_RECORDED</x:v>
      </x:c>
      <x:c r="R9" t="str">
        <x:v>TRANSFER AUTHORITY — REVIEW</x:v>
      </x:c>
      <x:c r="S9"/>
      <x:c r="T9" t="str">
        <x:v>NOT SCORED</x:v>
      </x:c>
      <x:c r="U9" t="str">
        <x:v>TITLE REVIEW NEEDED</x:v>
      </x:c>
    </x:row>
    <x:row r="10">
      <x:c r="A10" t="str">
        <x:v>SHD-009</x:v>
      </x:c>
      <x:c r="B10" t="str">
        <x:v>IDENTIFIED</x:v>
      </x:c>
      <x:c r="C10" t="str"/>
      <x:c r="D10" t="str"/>
      <x:c r="E10" t="str">
        <x:v>SOURCE_LOCATED</x:v>
      </x:c>
      <x:c r="F10" t="str"/>
      <x:c r="G10" t="str"/>
      <x:c r="H10" t="str"/>
      <x:c r="I10" t="str"/>
      <x:c r="J10" t="str">
        <x:v>PARTIAL</x:v>
      </x:c>
      <x:c r="K10" t="str">
        <x:v>UNASSESSED</x:v>
      </x:c>
      <x:c r="L10" t="str">
        <x:v>UNASSESSED</x:v>
      </x:c>
      <x:c r="M10" t="str">
        <x:v>UNASSESSED</x:v>
      </x:c>
      <x:c r="N10" t="str">
        <x:v>UNASSESSED</x:v>
      </x:c>
      <x:c r="O10" t="str">
        <x:v>UNASSESSED</x:v>
      </x:c>
      <x:c r="P10" t="str">
        <x:v>UNASSESSED</x:v>
      </x:c>
      <x:c r="Q10" t="str">
        <x:v>TRANSFER_RECORDED</x:v>
      </x:c>
      <x:c r="R10" t="str">
        <x:v>TRANSFER AUTHORITY — REVIEW</x:v>
      </x:c>
      <x:c r="S10"/>
      <x:c r="T10" t="str">
        <x:v>NOT SCORED</x:v>
      </x:c>
      <x:c r="U10" t="str">
        <x:v>RIGHTS / RECORDING REVIEW NEEDED</x:v>
      </x:c>
    </x:row>
    <x:row r="11">
      <x:c r="A11" t="str">
        <x:v>SHD-010</x:v>
      </x:c>
      <x:c r="B11" t="str">
        <x:v>IDENTIFIED</x:v>
      </x:c>
      <x:c r="C11" t="str"/>
      <x:c r="D11" t="str"/>
      <x:c r="E11" t="str">
        <x:v>SOURCE_LOCATED</x:v>
      </x:c>
      <x:c r="F11" t="str"/>
      <x:c r="G11" t="str"/>
      <x:c r="H11" t="str"/>
      <x:c r="I11" t="str"/>
      <x:c r="J11" t="str">
        <x:v>PARTIAL</x:v>
      </x:c>
      <x:c r="K11" t="str">
        <x:v>UNASSESSED</x:v>
      </x:c>
      <x:c r="L11" t="str">
        <x:v>UNASSESSED</x:v>
      </x:c>
      <x:c r="M11" t="str">
        <x:v>UNASSESSED</x:v>
      </x:c>
      <x:c r="N11" t="str">
        <x:v>UNASSESSED</x:v>
      </x:c>
      <x:c r="O11" t="str">
        <x:v>UNASSESSED</x:v>
      </x:c>
      <x:c r="P11" t="str">
        <x:v>UNASSESSED</x:v>
      </x:c>
      <x:c r="Q11" t="str">
        <x:v>TRANSFER_RECORDED</x:v>
      </x:c>
      <x:c r="R11" t="str">
        <x:v>TRANSFER AUTHORITY — REVIEW</x:v>
      </x:c>
      <x:c r="S11"/>
      <x:c r="T11" t="str">
        <x:v>NOT SCORED</x:v>
      </x:c>
      <x:c r="U11" t="str">
        <x:v>TITLE / RESTRICTIONS REVIEW NEEDED</x:v>
      </x:c>
    </x:row>
    <x:row r="12">
      <x:c r="A12" t="str">
        <x:v>SHD-011</x:v>
      </x:c>
      <x:c r="B12" t="str">
        <x:v>IDENTIFIED</x:v>
      </x:c>
      <x:c r="C12" t="str"/>
      <x:c r="D12" t="str"/>
      <x:c r="E12" t="str">
        <x:v>SOURCE_LOCATED</x:v>
      </x:c>
      <x:c r="F12" t="str"/>
      <x:c r="G12" t="str"/>
      <x:c r="H12" t="str"/>
      <x:c r="I12" t="str"/>
      <x:c r="J12" t="str">
        <x:v>PARTIAL</x:v>
      </x:c>
      <x:c r="K12" t="str">
        <x:v>UNASSESSED</x:v>
      </x:c>
      <x:c r="L12" t="str">
        <x:v>UNASSESSED</x:v>
      </x:c>
      <x:c r="M12" t="str">
        <x:v>UNASSESSED</x:v>
      </x:c>
      <x:c r="N12" t="str">
        <x:v>UNASSESSED</x:v>
      </x:c>
      <x:c r="O12" t="str">
        <x:v>UNASSESSED</x:v>
      </x:c>
      <x:c r="P12" t="str">
        <x:v>UNASSESSED</x:v>
      </x:c>
      <x:c r="Q12" t="str">
        <x:v>TRANSFER_RECORDED</x:v>
      </x:c>
      <x:c r="R12" t="str">
        <x:v>TRANSFER AUTHORITY — REVIEW</x:v>
      </x:c>
      <x:c r="S12"/>
      <x:c r="T12" t="str">
        <x:v>NOT SCORED</x:v>
      </x:c>
      <x:c r="U12" t="str">
        <x:v>TITLE REVIEW NEEDED</x:v>
      </x:c>
    </x:row>
    <x:row r="13">
      <x:c r="A13" t="str">
        <x:v>SHD-012</x:v>
      </x:c>
      <x:c r="B13" t="str">
        <x:v>IDENTIFIED</x:v>
      </x:c>
      <x:c r="C13" t="str"/>
      <x:c r="D13" t="str"/>
      <x:c r="E13" t="str">
        <x:v>SOURCE_LOCATED</x:v>
      </x:c>
      <x:c r="F13" t="str"/>
      <x:c r="G13" t="str"/>
      <x:c r="H13" t="str"/>
      <x:c r="I13" t="str"/>
      <x:c r="J13" t="str">
        <x:v>PARTIAL</x:v>
      </x:c>
      <x:c r="K13" t="str">
        <x:v>UNASSESSED</x:v>
      </x:c>
      <x:c r="L13" t="str">
        <x:v>UNASSESSED</x:v>
      </x:c>
      <x:c r="M13" t="str">
        <x:v>UNASSESSED</x:v>
      </x:c>
      <x:c r="N13" t="str">
        <x:v>UNASSESSED</x:v>
      </x:c>
      <x:c r="O13" t="str">
        <x:v>UNASSESSED</x:v>
      </x:c>
      <x:c r="P13" t="str">
        <x:v>UNASSESSED</x:v>
      </x:c>
      <x:c r="Q13" t="str">
        <x:v>TRANSFER_RECORDED</x:v>
      </x:c>
      <x:c r="R13" t="str">
        <x:v>TRANSFER AUTHORITY — REVIEW</x:v>
      </x:c>
      <x:c r="S13"/>
      <x:c r="T13" t="str">
        <x:v>NOT SCORED</x:v>
      </x:c>
      <x:c r="U13" t="str">
        <x:v>TITLE REVIEW NEEDED</x:v>
      </x:c>
    </x:row>
    <x:row r="14">
      <x:c r="A14" t="str">
        <x:v>SHD-013</x:v>
      </x:c>
      <x:c r="B14" t="str">
        <x:v>IDENTIFIED</x:v>
      </x:c>
      <x:c r="C14" t="str"/>
      <x:c r="D14" t="str"/>
      <x:c r="E14" t="str">
        <x:v>SOURCE_LOCATED</x:v>
      </x:c>
      <x:c r="F14" t="str"/>
      <x:c r="G14" t="str"/>
      <x:c r="H14" t="str"/>
      <x:c r="I14" t="str"/>
      <x:c r="J14" t="str">
        <x:v>PARTIAL</x:v>
      </x:c>
      <x:c r="K14" t="str">
        <x:v>UNASSESSED</x:v>
      </x:c>
      <x:c r="L14" t="str">
        <x:v>UNASSESSED</x:v>
      </x:c>
      <x:c r="M14" t="str">
        <x:v>UNASSESSED</x:v>
      </x:c>
      <x:c r="N14" t="str">
        <x:v>UNASSESSED</x:v>
      </x:c>
      <x:c r="O14" t="str">
        <x:v>UNASSESSED</x:v>
      </x:c>
      <x:c r="P14" t="str">
        <x:v>UNASSESSED</x:v>
      </x:c>
      <x:c r="Q14" t="str">
        <x:v>TRANSFER_RECORDED</x:v>
      </x:c>
      <x:c r="R14" t="str">
        <x:v>TRANSFER AUTHORITY — REVIEW</x:v>
      </x:c>
      <x:c r="S14"/>
      <x:c r="T14" t="str">
        <x:v>NOT SCORED</x:v>
      </x:c>
      <x:c r="U14" t="str">
        <x:v>TITLE REVIEW NEEDED</x:v>
      </x:c>
    </x:row>
    <x:row r="15">
      <x:c r="A15" t="str">
        <x:v>SHD-014</x:v>
      </x:c>
      <x:c r="B15" t="str">
        <x:v>IDENTIFIED</x:v>
      </x:c>
      <x:c r="C15" t="str"/>
      <x:c r="D15" t="str"/>
      <x:c r="E15" t="str">
        <x:v>SOURCE_LOCATED</x:v>
      </x:c>
      <x:c r="F15" t="str"/>
      <x:c r="G15" t="str"/>
      <x:c r="H15" t="str"/>
      <x:c r="I15" t="str"/>
      <x:c r="J15" t="str">
        <x:v>PARTIAL</x:v>
      </x:c>
      <x:c r="K15" t="str">
        <x:v>UNASSESSED</x:v>
      </x:c>
      <x:c r="L15" t="str">
        <x:v>UNASSESSED</x:v>
      </x:c>
      <x:c r="M15" t="str">
        <x:v>UNASSESSED</x:v>
      </x:c>
      <x:c r="N15" t="str">
        <x:v>UNASSESSED</x:v>
      </x:c>
      <x:c r="O15" t="str">
        <x:v>UNASSESSED</x:v>
      </x:c>
      <x:c r="P15" t="str">
        <x:v>UNASSESSED</x:v>
      </x:c>
      <x:c r="Q15" t="str">
        <x:v>TRANSFER_RECORDED</x:v>
      </x:c>
      <x:c r="R15" t="str">
        <x:v>TRANSFER AUTHORITY — REVIEW</x:v>
      </x:c>
      <x:c r="S15"/>
      <x:c r="T15" t="str">
        <x:v>NOT SCORED</x:v>
      </x:c>
      <x:c r="U15" t="str">
        <x:v>TITLE / ENVIRONMENTAL REVIEW NEEDED</x:v>
      </x:c>
    </x:row>
    <x:row r="16">
      <x:c r="A16" t="str">
        <x:v>SHD-015</x:v>
      </x:c>
      <x:c r="B16" t="str">
        <x:v>IDENTIFIED</x:v>
      </x:c>
      <x:c r="C16" t="str"/>
      <x:c r="D16" t="str"/>
      <x:c r="E16" t="str">
        <x:v>SOURCE_LOCATED</x:v>
      </x:c>
      <x:c r="F16" t="str"/>
      <x:c r="G16" t="str"/>
      <x:c r="H16" t="str"/>
      <x:c r="I16" t="str"/>
      <x:c r="J16" t="str">
        <x:v>PARTIAL</x:v>
      </x:c>
      <x:c r="K16" t="str">
        <x:v>UNASSESSED</x:v>
      </x:c>
      <x:c r="L16" t="str">
        <x:v>UNASSESSED</x:v>
      </x:c>
      <x:c r="M16" t="str">
        <x:v>UNASSESSED</x:v>
      </x:c>
      <x:c r="N16" t="str">
        <x:v>UNASSESSED</x:v>
      </x:c>
      <x:c r="O16" t="str">
        <x:v>UNASSESSED</x:v>
      </x:c>
      <x:c r="P16" t="str">
        <x:v>UNASSESSED</x:v>
      </x:c>
      <x:c r="Q16" t="str">
        <x:v>TRANSFER_RECORDED</x:v>
      </x:c>
      <x:c r="R16" t="str">
        <x:v>TRANSFER AUTHORITY — REVIEW</x:v>
      </x:c>
      <x:c r="S16"/>
      <x:c r="T16" t="str">
        <x:v>NOT SCORED</x:v>
      </x:c>
      <x:c r="U16" t="str">
        <x:v>TITLE / CONVEYANCE RESTRICTIONS REVIEW NEEDED</x:v>
      </x:c>
    </x:row>
    <x:row r="17">
      <x:c r="A17" t="str">
        <x:v>SHD-016</x:v>
      </x:c>
      <x:c r="B17" t="str">
        <x:v>IDENTIFIED</x:v>
      </x:c>
      <x:c r="C17" t="str"/>
      <x:c r="D17" t="str"/>
      <x:c r="E17" t="str">
        <x:v>SOURCE_LOCATED</x:v>
      </x:c>
      <x:c r="F17" t="str"/>
      <x:c r="G17" t="str"/>
      <x:c r="H17" t="str"/>
      <x:c r="I17" t="str"/>
      <x:c r="J17" t="str">
        <x:v>PARTIAL</x:v>
      </x:c>
      <x:c r="K17" t="str">
        <x:v>UNASSESSED</x:v>
      </x:c>
      <x:c r="L17" t="str">
        <x:v>UNASSESSED</x:v>
      </x:c>
      <x:c r="M17" t="str">
        <x:v>UNASSESSED</x:v>
      </x:c>
      <x:c r="N17" t="str">
        <x:v>UNASSESSED</x:v>
      </x:c>
      <x:c r="O17" t="str">
        <x:v>UNASSESSED</x:v>
      </x:c>
      <x:c r="P17" t="str">
        <x:v>UNASSESSED</x:v>
      </x:c>
      <x:c r="Q17" t="str">
        <x:v>TRANSFER_RECORDED</x:v>
      </x:c>
      <x:c r="R17" t="str">
        <x:v>TRANSFER AUTHORITY — REVIEW</x:v>
      </x:c>
      <x:c r="S17"/>
      <x:c r="T17" t="str">
        <x:v>NOT SCORED</x:v>
      </x:c>
      <x:c r="U17" t="str">
        <x:v>TITLE / CONVEYANCE RESTRICTIONS REVIEW NEEDED</x:v>
      </x:c>
    </x:row>
    <x:row r="18">
      <x:c r="A18" t="str">
        <x:v>SHD-017</x:v>
      </x:c>
      <x:c r="B18" t="str">
        <x:v>IDENTIFIED</x:v>
      </x:c>
      <x:c r="C18" t="str"/>
      <x:c r="D18" t="str"/>
      <x:c r="E18" t="str">
        <x:v>SOURCE_LOCATED</x:v>
      </x:c>
      <x:c r="F18" t="str"/>
      <x:c r="G18" t="str"/>
      <x:c r="H18" t="str"/>
      <x:c r="I18" t="str"/>
      <x:c r="J18" t="str">
        <x:v>PARTIAL</x:v>
      </x:c>
      <x:c r="K18" t="str">
        <x:v>UNASSESSED</x:v>
      </x:c>
      <x:c r="L18" t="str">
        <x:v>UNASSESSED</x:v>
      </x:c>
      <x:c r="M18" t="str">
        <x:v>UNASSESSED</x:v>
      </x:c>
      <x:c r="N18" t="str">
        <x:v>UNASSESSED</x:v>
      </x:c>
      <x:c r="O18" t="str">
        <x:v>UNASSESSED</x:v>
      </x:c>
      <x:c r="P18" t="str">
        <x:v>UNASSESSED</x:v>
      </x:c>
      <x:c r="Q18" t="str">
        <x:v>TRANSFER_RECORDED</x:v>
      </x:c>
      <x:c r="R18" t="str">
        <x:v>TRANSFER AUTHORITY — REVIEW</x:v>
      </x:c>
      <x:c r="S18"/>
      <x:c r="T18" t="str">
        <x:v>NOT SCORED</x:v>
      </x:c>
      <x:c r="U18" t="str">
        <x:v>TITLE DEED REQUIRED</x:v>
      </x:c>
    </x:row>
    <x:row r="19">
      <x:c r="A19" t="str">
        <x:v>SHD-018</x:v>
      </x:c>
      <x:c r="B19" t="str">
        <x:v>IDENTIFIED</x:v>
      </x:c>
      <x:c r="C19" t="str"/>
      <x:c r="D19" t="str"/>
      <x:c r="E19" t="str">
        <x:v>RECORD_MATCHED</x:v>
      </x:c>
      <x:c r="F19" t="str"/>
      <x:c r="G19" t="str"/>
      <x:c r="H19" t="str"/>
      <x:c r="I19" t="str"/>
      <x:c r="J19" t="str">
        <x:v>PARTIAL</x:v>
      </x:c>
      <x:c r="K19" t="str">
        <x:v>UNASSESSED</x:v>
      </x:c>
      <x:c r="L19" t="str">
        <x:v>UNASSESSED</x:v>
      </x:c>
      <x:c r="M19" t="str">
        <x:v>UNASSESSED</x:v>
      </x:c>
      <x:c r="N19" t="str">
        <x:v>UNASSESSED</x:v>
      </x:c>
      <x:c r="O19" t="str">
        <x:v>UNASSESSED</x:v>
      </x:c>
      <x:c r="P19" t="str">
        <x:v>UNASSESSED</x:v>
      </x:c>
      <x:c r="Q19" t="str">
        <x:v>TRANSFER_RECORDED</x:v>
      </x:c>
      <x:c r="R19" t="str">
        <x:v>TRANSFER AUTHORITY — REVIEW</x:v>
      </x:c>
      <x:c r="S19"/>
      <x:c r="T19" t="str">
        <x:v>NOT SCORED</x:v>
      </x:c>
      <x:c r="U19" t="str">
        <x:v>TITLE DEED IDENTIFIED; BENEFICIAL OWNER UNRESOLVED</x:v>
      </x:c>
    </x:row>
    <x:row r="20">
      <x:c r="A20" t="str">
        <x:v>SHD-019</x:v>
      </x:c>
      <x:c r="B20" t="str">
        <x:v>IDENTIFIED</x:v>
      </x:c>
      <x:c r="C20" t="str"/>
      <x:c r="D20" t="str"/>
      <x:c r="E20" t="str">
        <x:v>SOURCE_LOCATED</x:v>
      </x:c>
      <x:c r="F20" t="str"/>
      <x:c r="G20" t="str"/>
      <x:c r="H20" t="str"/>
      <x:c r="I20" t="str"/>
      <x:c r="J20" t="str">
        <x:v>PARTIAL</x:v>
      </x:c>
      <x:c r="K20" t="str">
        <x:v>UNASSESSED</x:v>
      </x:c>
      <x:c r="L20" t="str">
        <x:v>UNASSESSED</x:v>
      </x:c>
      <x:c r="M20" t="str">
        <x:v>UNASSESSED</x:v>
      </x:c>
      <x:c r="N20" t="str">
        <x:v>UNASSESSED</x:v>
      </x:c>
      <x:c r="O20" t="str">
        <x:v>UNASSESSED</x:v>
      </x:c>
      <x:c r="P20" t="str">
        <x:v>UNASSESSED</x:v>
      </x:c>
      <x:c r="Q20" t="str">
        <x:v>TRANSFER_RECORDED</x:v>
      </x:c>
      <x:c r="R20" t="str">
        <x:v>TRANSFER AUTHORITY — REVIEW</x:v>
      </x:c>
      <x:c r="S20"/>
      <x:c r="T20" t="str">
        <x:v>NOT SCORED</x:v>
      </x:c>
      <x:c r="U20" t="str">
        <x:v>TITLE DEED REQUIRED</x:v>
      </x:c>
    </x:row>
    <x:row r="21">
      <x:c r="A21" t="str">
        <x:v>SHD-020</x:v>
      </x:c>
      <x:c r="B21" t="str">
        <x:v>IDENTIFIED</x:v>
      </x:c>
      <x:c r="C21" t="str"/>
      <x:c r="D21" t="str"/>
      <x:c r="E21" t="str">
        <x:v>SOURCE_LOCATED</x:v>
      </x:c>
      <x:c r="F21" t="str"/>
      <x:c r="G21" t="str"/>
      <x:c r="H21" t="str"/>
      <x:c r="I21" t="str"/>
      <x:c r="J21" t="str">
        <x:v>PARTIAL</x:v>
      </x:c>
      <x:c r="K21" t="str">
        <x:v>UNASSESSED</x:v>
      </x:c>
      <x:c r="L21" t="str">
        <x:v>UNASSESSED</x:v>
      </x:c>
      <x:c r="M21" t="str">
        <x:v>UNASSESSED</x:v>
      </x:c>
      <x:c r="N21" t="str">
        <x:v>UNASSESSED</x:v>
      </x:c>
      <x:c r="O21" t="str">
        <x:v>UNASSESSED</x:v>
      </x:c>
      <x:c r="P21" t="str">
        <x:v>UNASSESSED</x:v>
      </x:c>
      <x:c r="Q21" t="str">
        <x:v>TRANSFER_RECORDED</x:v>
      </x:c>
      <x:c r="R21" t="str">
        <x:v>TRANSFER AUTHORITY — REVIEW</x:v>
      </x:c>
      <x:c r="S21"/>
      <x:c r="T21" t="str">
        <x:v>NOT SCORED</x:v>
      </x:c>
      <x:c r="U21" t="str">
        <x:v>TITLE DEED REQUIRED</x:v>
      </x:c>
    </x:row>
    <x:row r="22">
      <x:c r="A22" t="str">
        <x:v>SHD-021</x:v>
      </x:c>
      <x:c r="B22" t="str">
        <x:v>IDENTIFIED</x:v>
      </x:c>
      <x:c r="C22" t="str"/>
      <x:c r="D22" t="str"/>
      <x:c r="E22" t="str">
        <x:v>SOURCE_LOCATED</x:v>
      </x:c>
      <x:c r="F22" t="str"/>
      <x:c r="G22" t="str"/>
      <x:c r="H22" t="str"/>
      <x:c r="I22" t="str"/>
      <x:c r="J22" t="str">
        <x:v>PARTIAL</x:v>
      </x:c>
      <x:c r="K22" t="str">
        <x:v>UNASSESSED</x:v>
      </x:c>
      <x:c r="L22" t="str">
        <x:v>UNASSESSED</x:v>
      </x:c>
      <x:c r="M22" t="str">
        <x:v>UNASSESSED</x:v>
      </x:c>
      <x:c r="N22" t="str">
        <x:v>UNASSESSED</x:v>
      </x:c>
      <x:c r="O22" t="str">
        <x:v>REVIEW REQUIRED</x:v>
      </x:c>
      <x:c r="P22" t="str">
        <x:v>UNASSESSED</x:v>
      </x:c>
      <x:c r="Q22" t="str">
        <x:v>TRANSFER_RECORDED</x:v>
      </x:c>
      <x:c r="R22" t="str">
        <x:v>TRANSFER AUTHORITY — REVIEW</x:v>
      </x:c>
      <x:c r="S22"/>
      <x:c r="T22" t="str">
        <x:v>NOT SCORED</x:v>
      </x:c>
      <x:c r="U22" t="str">
        <x:v>TITLE + RIGHTS DEED REQUIRED</x:v>
      </x:c>
    </x:row>
    <x:row r="23">
      <x:c r="A23" t="str">
        <x:v>SHD-022</x:v>
      </x:c>
      <x:c r="B23" t="str">
        <x:v>IDENTIFIED</x:v>
      </x:c>
      <x:c r="C23" t="str"/>
      <x:c r="D23" t="str"/>
      <x:c r="E23" t="str">
        <x:v>SOURCE_LOCATED</x:v>
      </x:c>
      <x:c r="F23" t="str"/>
      <x:c r="G23" t="str"/>
      <x:c r="H23" t="str"/>
      <x:c r="I23" t="str"/>
      <x:c r="J23" t="str">
        <x:v>PARTIAL</x:v>
      </x:c>
      <x:c r="K23" t="str">
        <x:v>UNASSESSED</x:v>
      </x:c>
      <x:c r="L23" t="str">
        <x:v>UNASSESSED</x:v>
      </x:c>
      <x:c r="M23" t="str">
        <x:v>UNASSESSED</x:v>
      </x:c>
      <x:c r="N23" t="str">
        <x:v>UNASSESSED</x:v>
      </x:c>
      <x:c r="O23" t="str">
        <x:v>UNASSESSED</x:v>
      </x:c>
      <x:c r="P23" t="str">
        <x:v>UNASSESSED</x:v>
      </x:c>
      <x:c r="Q23" t="str">
        <x:v>TRANSFER_RECORDED</x:v>
      </x:c>
      <x:c r="R23" t="str">
        <x:v>TRANSFER AUTHORITY — REVIEW</x:v>
      </x:c>
      <x:c r="S23"/>
      <x:c r="T23" t="str">
        <x:v>NOT SCORED</x:v>
      </x:c>
      <x:c r="U23" t="str">
        <x:v>TITLE DEED REQUIRED</x:v>
      </x:c>
    </x:row>
    <x:row r="24">
      <x:c r="A24" t="str">
        <x:v>SHD-023</x:v>
      </x:c>
      <x:c r="B24" t="str">
        <x:v>IDENTIFIED</x:v>
      </x:c>
      <x:c r="C24" t="str"/>
      <x:c r="D24" t="str"/>
      <x:c r="E24" t="str">
        <x:v>SOURCE_LOCATED</x:v>
      </x:c>
      <x:c r="F24" t="str"/>
      <x:c r="G24" t="str"/>
      <x:c r="H24" t="str"/>
      <x:c r="I24" t="str"/>
      <x:c r="J24" t="str">
        <x:v>PARTIAL</x:v>
      </x:c>
      <x:c r="K24" t="str">
        <x:v>UNASSESSED</x:v>
      </x:c>
      <x:c r="L24" t="str">
        <x:v>UNASSESSED</x:v>
      </x:c>
      <x:c r="M24" t="str">
        <x:v>UNASSESSED</x:v>
      </x:c>
      <x:c r="N24" t="str">
        <x:v>UNASSESSED</x:v>
      </x:c>
      <x:c r="O24" t="str">
        <x:v>UNASSESSED</x:v>
      </x:c>
      <x:c r="P24" t="str">
        <x:v>UNASSESSED</x:v>
      </x:c>
      <x:c r="Q24" t="str">
        <x:v>TRANSFER_RECORDED</x:v>
      </x:c>
      <x:c r="R24" t="str">
        <x:v>TRANSFER AUTHORITY — REVIEW</x:v>
      </x:c>
      <x:c r="S24"/>
      <x:c r="T24" t="str">
        <x:v>NOT SCORED</x:v>
      </x:c>
      <x:c r="U24" t="str">
        <x:v>TITLE TRANSFER INDICATED; OWNER UNRESOLVED</x:v>
      </x:c>
    </x:row>
    <x:row r="25">
      <x:c r="A25" t="str">
        <x:v>SHD-024</x:v>
      </x:c>
      <x:c r="B25" t="str">
        <x:v>IDENTIFIED</x:v>
      </x:c>
      <x:c r="C25" t="str"/>
      <x:c r="D25" t="str"/>
      <x:c r="E25" t="str">
        <x:v>SOURCE_LOCATED</x:v>
      </x:c>
      <x:c r="F25" t="str"/>
      <x:c r="G25" t="str"/>
      <x:c r="H25" t="str"/>
      <x:c r="I25" t="str"/>
      <x:c r="J25" t="str">
        <x:v>PARTIAL</x:v>
      </x:c>
      <x:c r="K25" t="str">
        <x:v>UNASSESSED</x:v>
      </x:c>
      <x:c r="L25" t="str">
        <x:v>UNASSESSED</x:v>
      </x:c>
      <x:c r="M25" t="str">
        <x:v>UNASSESSED</x:v>
      </x:c>
      <x:c r="N25" t="str">
        <x:v>UNASSESSED</x:v>
      </x:c>
      <x:c r="O25" t="str">
        <x:v>REVIEW REQUIRED</x:v>
      </x:c>
      <x:c r="P25" t="str">
        <x:v>UNASSESSED</x:v>
      </x:c>
      <x:c r="Q25" t="str">
        <x:v>TRANSFER_RECORDED</x:v>
      </x:c>
      <x:c r="R25" t="str">
        <x:v>TRANSFER AUTHORITY — REVIEW</x:v>
      </x:c>
      <x:c r="S25"/>
      <x:c r="T25" t="str">
        <x:v>NOT SCORED</x:v>
      </x:c>
      <x:c r="U25" t="str">
        <x:v>TITLE DEED REQUIRED</x:v>
      </x:c>
    </x:row>
    <x:row r="26">
      <x:c r="A26" t="str">
        <x:v>SHD-025</x:v>
      </x:c>
      <x:c r="B26" t="str">
        <x:v>IDENTIFIED</x:v>
      </x:c>
      <x:c r="C26" t="str"/>
      <x:c r="D26" t="str"/>
      <x:c r="E26" t="str">
        <x:v>SOURCE_LOCATED</x:v>
      </x:c>
      <x:c r="F26" t="str"/>
      <x:c r="G26" t="str"/>
      <x:c r="H26" t="str"/>
      <x:c r="I26" t="str"/>
      <x:c r="J26" t="str">
        <x:v>PARTIAL</x:v>
      </x:c>
      <x:c r="K26" t="str">
        <x:v>UNASSESSED</x:v>
      </x:c>
      <x:c r="L26" t="str">
        <x:v>UNASSESSED</x:v>
      </x:c>
      <x:c r="M26" t="str">
        <x:v>UNASSESSED</x:v>
      </x:c>
      <x:c r="N26" t="str">
        <x:v>UNASSESSED</x:v>
      </x:c>
      <x:c r="O26" t="str">
        <x:v>UNASSESSED</x:v>
      </x:c>
      <x:c r="P26" t="str">
        <x:v>UNASSESSED</x:v>
      </x:c>
      <x:c r="Q26" t="str">
        <x:v>TRANSFER_RECORDED</x:v>
      </x:c>
      <x:c r="R26" t="str">
        <x:v>TRANSFER AUTHORITY — REVIEW</x:v>
      </x:c>
      <x:c r="S26"/>
      <x:c r="T26" t="str">
        <x:v>NOT SCORED</x:v>
      </x:c>
      <x:c r="U26" t="str">
        <x:v>TITLE DEED REQUIRED</x:v>
      </x:c>
    </x:row>
    <x:row r="27">
      <x:c r="A27" t="str">
        <x:v>SHD-026</x:v>
      </x:c>
      <x:c r="B27" t="str">
        <x:v>IDENTIFIED</x:v>
      </x:c>
      <x:c r="C27" t="str"/>
      <x:c r="D27" t="str"/>
      <x:c r="E27" t="str">
        <x:v>UNVERIFIED</x:v>
      </x:c>
      <x:c r="F27" t="str"/>
      <x:c r="G27" t="str"/>
      <x:c r="H27" t="str"/>
      <x:c r="I27" t="str"/>
      <x:c r="J27" t="str">
        <x:v>PARTIAL</x:v>
      </x:c>
      <x:c r="K27" t="str">
        <x:v>UNASSESSED</x:v>
      </x:c>
      <x:c r="L27" t="str">
        <x:v>UNASSESSED</x:v>
      </x:c>
      <x:c r="M27" t="str">
        <x:v>UNASSESSED</x:v>
      </x:c>
      <x:c r="N27" t="str">
        <x:v>UNASSESSED</x:v>
      </x:c>
      <x:c r="O27" t="str">
        <x:v>UNASSESSED</x:v>
      </x:c>
      <x:c r="P27" t="str">
        <x:v>UNASSESSED</x:v>
      </x:c>
      <x:c r="Q27" t="str">
        <x:v>TRANSFER_PENDING</x:v>
      </x:c>
      <x:c r="R27" t="str">
        <x:v>TRANSFER AUTHORITY — REVIEW</x:v>
      </x:c>
      <x:c r="S27"/>
      <x:c r="T27" t="str">
        <x:v>NOT SCORED</x:v>
      </x:c>
      <x:c r="U27" t="str">
        <x:v>TRANSFER NOT CONFIRMED</x:v>
      </x:c>
    </x:row>
    <x:row r="28">
      <x:c r="A28" t="str">
        <x:v>SHD-027</x:v>
      </x:c>
      <x:c r="B28" t="str">
        <x:v>IDENTIFIED</x:v>
      </x:c>
      <x:c r="C28" t="str"/>
      <x:c r="D28" t="str"/>
      <x:c r="E28" t="str">
        <x:v>UNVERIFIED</x:v>
      </x:c>
      <x:c r="F28" t="str"/>
      <x:c r="G28" t="str"/>
      <x:c r="H28" t="str"/>
      <x:c r="I28" t="str"/>
      <x:c r="J28" t="str">
        <x:v>PARTIAL</x:v>
      </x:c>
      <x:c r="K28" t="str">
        <x:v>UNASSESSED</x:v>
      </x:c>
      <x:c r="L28" t="str">
        <x:v>UNASSESSED</x:v>
      </x:c>
      <x:c r="M28" t="str">
        <x:v>UNASSESSED</x:v>
      </x:c>
      <x:c r="N28" t="str">
        <x:v>UNASSESSED</x:v>
      </x:c>
      <x:c r="O28" t="str">
        <x:v>KNOWN ENVIRONMENTAL / PCB + FLOOD ISSUES</x:v>
      </x:c>
      <x:c r="P28" t="str">
        <x:v>UNASSESSED</x:v>
      </x:c>
      <x:c r="Q28" t="str">
        <x:v>TRANSFER_PENDING</x:v>
      </x:c>
      <x:c r="R28" t="str">
        <x:v>TRANSFER AUTHORITY — REVIEW</x:v>
      </x:c>
      <x:c r="S28"/>
      <x:c r="T28" t="str">
        <x:v>NOT SCORED</x:v>
      </x:c>
      <x:c r="U28" t="str">
        <x:v>NO TRANSFER — BID REJECTED</x:v>
      </x:c>
    </x:row>
    <x:row r="29">
      <x:c r="A29" t="str">
        <x:v>SHD-028</x:v>
      </x:c>
      <x:c r="B29" t="str">
        <x:v>IDENTIFIED</x:v>
      </x:c>
      <x:c r="C29" t="str"/>
      <x:c r="D29" t="str"/>
      <x:c r="E29" t="str">
        <x:v>UNVERIFIED</x:v>
      </x:c>
      <x:c r="F29" t="str"/>
      <x:c r="G29" t="str"/>
      <x:c r="H29" t="str"/>
      <x:c r="I29" t="str"/>
      <x:c r="J29" t="str">
        <x:v>PARTIAL</x:v>
      </x:c>
      <x:c r="K29" t="str">
        <x:v>UNASSESSED</x:v>
      </x:c>
      <x:c r="L29" t="str">
        <x:v>UNASSESSED</x:v>
      </x:c>
      <x:c r="M29" t="str">
        <x:v>UNASSESSED</x:v>
      </x:c>
      <x:c r="N29" t="str">
        <x:v>UNASSESSED</x:v>
      </x:c>
      <x:c r="O29" t="str">
        <x:v>UNASSESSED</x:v>
      </x:c>
      <x:c r="P29" t="str">
        <x:v>UNASSESSED</x:v>
      </x:c>
      <x:c r="Q29" t="str">
        <x:v>TRANSFER_PENDING</x:v>
      </x:c>
      <x:c r="R29" t="str">
        <x:v>TRANSFER AUTHORITY — REVIEW</x:v>
      </x:c>
      <x:c r="S29"/>
      <x:c r="T29" t="str">
        <x:v>NOT SCORED</x:v>
      </x:c>
      <x:c r="U29" t="str">
        <x:v>TRANSFER PENDING</x:v>
      </x:c>
    </x:row>
    <x:row r="30">
      <x:c r="A30" t="str">
        <x:v>SHD-029</x:v>
      </x:c>
      <x:c r="B30" t="str">
        <x:v>IDENTIFIED</x:v>
      </x:c>
      <x:c r="C30" t="str"/>
      <x:c r="D30" t="str"/>
      <x:c r="E30" t="str">
        <x:v>UNVERIFIED</x:v>
      </x:c>
      <x:c r="F30" t="str"/>
      <x:c r="G30" t="str"/>
      <x:c r="H30" t="str"/>
      <x:c r="I30" t="str"/>
      <x:c r="J30" t="str">
        <x:v>PARTIAL</x:v>
      </x:c>
      <x:c r="K30" t="str">
        <x:v>UNASSESSED</x:v>
      </x:c>
      <x:c r="L30" t="str">
        <x:v>UNASSESSED</x:v>
      </x:c>
      <x:c r="M30" t="str">
        <x:v>UNASSESSED</x:v>
      </x:c>
      <x:c r="N30" t="str">
        <x:v>UNASSESSED</x:v>
      </x:c>
      <x:c r="O30" t="str">
        <x:v>UNASSESSED</x:v>
      </x:c>
      <x:c r="P30" t="str">
        <x:v>UNASSESSED</x:v>
      </x:c>
      <x:c r="Q30" t="str">
        <x:v>TRANSFER_RESTRICTED</x:v>
      </x:c>
      <x:c r="R30" t="str">
        <x:v>TRANSFER AUTHORITY — REVIEW</x:v>
      </x:c>
      <x:c r="S30"/>
      <x:c r="T30" t="str">
        <x:v>NOT SCORED</x:v>
      </x:c>
      <x:c r="U30" t="str">
        <x:v>FEDERAL TITLE — DISPOSITION REVIEW</x:v>
      </x:c>
    </x:row>
    <x:row r="31">
      <x:c r="A31" t="str">
        <x:v>SHD-030</x:v>
      </x:c>
      <x:c r="B31" t="str">
        <x:v>IDENTIFIED</x:v>
      </x:c>
      <x:c r="C31" t="str"/>
      <x:c r="D31" t="str"/>
      <x:c r="E31" t="str">
        <x:v>UNVERIFIED</x:v>
      </x:c>
      <x:c r="F31" t="str"/>
      <x:c r="G31" t="str"/>
      <x:c r="H31" t="str"/>
      <x:c r="I31" t="str"/>
      <x:c r="J31" t="str">
        <x:v>PARTIAL</x:v>
      </x:c>
      <x:c r="K31" t="str">
        <x:v>UNASSESSED</x:v>
      </x:c>
      <x:c r="L31" t="str">
        <x:v>UNASSESSED</x:v>
      </x:c>
      <x:c r="M31" t="str">
        <x:v>UNASSESSED</x:v>
      </x:c>
      <x:c r="N31" t="str">
        <x:v>UNASSESSED</x:v>
      </x:c>
      <x:c r="O31" t="str">
        <x:v>UNASSESSED</x:v>
      </x:c>
      <x:c r="P31" t="str">
        <x:v>UNASSESSED</x:v>
      </x:c>
      <x:c r="Q31" t="str">
        <x:v>TRANSFER_RESTRICTED</x:v>
      </x:c>
      <x:c r="R31" t="str">
        <x:v>TRANSFER AUTHORITY — REVIEW</x:v>
      </x:c>
      <x:c r="S31"/>
      <x:c r="T31" t="str">
        <x:v>NOT SCORED</x:v>
      </x:c>
      <x:c r="U31" t="str">
        <x:v>FEDERAL TITLE — DISPOSITION REVIEW</x:v>
      </x:c>
    </x:row>
    <x:row r="32">
      <x:c r="A32" t="str">
        <x:v>SHD-031</x:v>
      </x:c>
      <x:c r="B32" t="str">
        <x:v>IDENTIFIED</x:v>
      </x:c>
      <x:c r="C32" t="str"/>
      <x:c r="D32" t="str"/>
      <x:c r="E32" t="str">
        <x:v>UNVERIFIED</x:v>
      </x:c>
      <x:c r="F32" t="str"/>
      <x:c r="G32" t="str"/>
      <x:c r="H32" t="str"/>
      <x:c r="I32" t="str"/>
      <x:c r="J32" t="str">
        <x:v>PARTIAL</x:v>
      </x:c>
      <x:c r="K32" t="str">
        <x:v>UNASSESSED</x:v>
      </x:c>
      <x:c r="L32" t="str">
        <x:v>UNASSESSED</x:v>
      </x:c>
      <x:c r="M32" t="str">
        <x:v>UNASSESSED</x:v>
      </x:c>
      <x:c r="N32" t="str">
        <x:v>UNASSESSED</x:v>
      </x:c>
      <x:c r="O32" t="str">
        <x:v>UNASSESSED</x:v>
      </x:c>
      <x:c r="P32" t="str">
        <x:v>UNASSESSED</x:v>
      </x:c>
      <x:c r="Q32" t="str">
        <x:v>TRANSFER_RESTRICTED</x:v>
      </x:c>
      <x:c r="R32" t="str">
        <x:v>TRANSFER AUTHORITY — REVIEW</x:v>
      </x:c>
      <x:c r="S32"/>
      <x:c r="T32" t="str">
        <x:v>NOT SCORED</x:v>
      </x:c>
      <x:c r="U32" t="str">
        <x:v>FEDERAL TITLE — DISPOSITION REVIEW</x:v>
      </x:c>
    </x:row>
    <x:row r="33">
      <x:c r="A33" t="str">
        <x:v>SHD-032</x:v>
      </x:c>
      <x:c r="B33" t="str">
        <x:v>IDENTIFIED</x:v>
      </x:c>
      <x:c r="C33" t="str"/>
      <x:c r="D33" t="str"/>
      <x:c r="E33" t="str">
        <x:v>UNVERIFIED</x:v>
      </x:c>
      <x:c r="F33" t="str"/>
      <x:c r="G33" t="str"/>
      <x:c r="H33" t="str"/>
      <x:c r="I33" t="str"/>
      <x:c r="J33" t="str">
        <x:v>PARTIAL</x:v>
      </x:c>
      <x:c r="K33" t="str">
        <x:v>UNASSESSED</x:v>
      </x:c>
      <x:c r="L33" t="str">
        <x:v>UNASSESSED</x:v>
      </x:c>
      <x:c r="M33" t="str">
        <x:v>UNASSESSED</x:v>
      </x:c>
      <x:c r="N33" t="str">
        <x:v>UNASSESSED</x:v>
      </x:c>
      <x:c r="O33" t="str">
        <x:v>UNASSESSED</x:v>
      </x:c>
      <x:c r="P33" t="str">
        <x:v>UNASSESSED</x:v>
      </x:c>
      <x:c r="Q33" t="str">
        <x:v>TRANSFER_RESTRICTED</x:v>
      </x:c>
      <x:c r="R33" t="str">
        <x:v>TRANSFER AUTHORITY — REVIEW</x:v>
      </x:c>
      <x:c r="S33"/>
      <x:c r="T33" t="str">
        <x:v>NOT SCORED</x:v>
      </x:c>
      <x:c r="U33" t="str">
        <x:v>FEDERAL TITLE — DISPOSITION REVIEW</x:v>
      </x:c>
    </x:row>
    <x:row r="34">
      <x:c r="A34" t="str">
        <x:v>SHD-033</x:v>
      </x:c>
      <x:c r="B34" t="str">
        <x:v>IDENTIFIED</x:v>
      </x:c>
      <x:c r="C34" t="str"/>
      <x:c r="D34" t="str"/>
      <x:c r="E34" t="str">
        <x:v>UNVERIFIED</x:v>
      </x:c>
      <x:c r="F34" t="str"/>
      <x:c r="G34" t="str"/>
      <x:c r="H34" t="str"/>
      <x:c r="I34" t="str"/>
      <x:c r="J34" t="str">
        <x:v>PARTIAL</x:v>
      </x:c>
      <x:c r="K34" t="str">
        <x:v>UNASSESSED</x:v>
      </x:c>
      <x:c r="L34" t="str">
        <x:v>UNASSESSED</x:v>
      </x:c>
      <x:c r="M34" t="str">
        <x:v>UNASSESSED</x:v>
      </x:c>
      <x:c r="N34" t="str">
        <x:v>UNASSESSED</x:v>
      </x:c>
      <x:c r="O34" t="str">
        <x:v>UNASSESSED</x:v>
      </x:c>
      <x:c r="P34" t="str">
        <x:v>UNASSESSED</x:v>
      </x:c>
      <x:c r="Q34" t="str">
        <x:v>TRANSFER_RESTRICTED</x:v>
      </x:c>
      <x:c r="R34" t="str">
        <x:v>TRANSFER AUTHORITY — REVIEW</x:v>
      </x:c>
      <x:c r="S34"/>
      <x:c r="T34" t="str">
        <x:v>NOT SCORED</x:v>
      </x:c>
      <x:c r="U34" t="str">
        <x:v>FEDERAL TITLE — DISPOSITION REVIEW</x:v>
      </x:c>
    </x:row>
    <x:row r="35">
      <x:c r="A35" t="str">
        <x:v>SHD-034</x:v>
      </x:c>
      <x:c r="B35" t="str">
        <x:v>IDENTIFIED</x:v>
      </x:c>
      <x:c r="C35" t="str"/>
      <x:c r="D35" t="str"/>
      <x:c r="E35" t="str">
        <x:v>UNVERIFIED</x:v>
      </x:c>
      <x:c r="F35" t="str"/>
      <x:c r="G35" t="str"/>
      <x:c r="H35" t="str"/>
      <x:c r="I35" t="str"/>
      <x:c r="J35" t="str">
        <x:v>PARTIAL</x:v>
      </x:c>
      <x:c r="K35" t="str">
        <x:v>UNASSESSED</x:v>
      </x:c>
      <x:c r="L35" t="str">
        <x:v>UNASSESSED</x:v>
      </x:c>
      <x:c r="M35" t="str">
        <x:v>UNASSESSED</x:v>
      </x:c>
      <x:c r="N35" t="str">
        <x:v>UNASSESSED</x:v>
      </x:c>
      <x:c r="O35" t="str">
        <x:v>REVIEW REQUIRED</x:v>
      </x:c>
      <x:c r="P35" t="str">
        <x:v>UNASSESSED</x:v>
      </x:c>
      <x:c r="Q35" t="str">
        <x:v>TRANSFER_RESTRICTED</x:v>
      </x:c>
      <x:c r="R35" t="str">
        <x:v>TRANSFER AUTHORITY — REVIEW</x:v>
      </x:c>
      <x:c r="S35"/>
      <x:c r="T35" t="str">
        <x:v>NOT SCORED</x:v>
      </x:c>
      <x:c r="U35" t="str">
        <x:v>FEDERAL TITLE — DISPOSITION REVIEW</x:v>
      </x:c>
    </x:row>
    <x:row r="36">
      <x:c r="A36" t="str">
        <x:v>SHD-035</x:v>
      </x:c>
      <x:c r="B36" t="str">
        <x:v>IDENTIFIED</x:v>
      </x:c>
      <x:c r="C36" t="str"/>
      <x:c r="D36" t="str"/>
      <x:c r="E36" t="str">
        <x:v>UNVERIFIED</x:v>
      </x:c>
      <x:c r="F36" t="str"/>
      <x:c r="G36" t="str"/>
      <x:c r="H36" t="str"/>
      <x:c r="I36" t="str"/>
      <x:c r="J36" t="str">
        <x:v>PARTIAL</x:v>
      </x:c>
      <x:c r="K36" t="str">
        <x:v>UNASSESSED</x:v>
      </x:c>
      <x:c r="L36" t="str">
        <x:v>UNASSESSED</x:v>
      </x:c>
      <x:c r="M36" t="str">
        <x:v>UNASSESSED</x:v>
      </x:c>
      <x:c r="N36" t="str">
        <x:v>UNASSESSED</x:v>
      </x:c>
      <x:c r="O36" t="str">
        <x:v>REVIEW REQUIRED</x:v>
      </x:c>
      <x:c r="P36" t="str">
        <x:v>UNASSESSED</x:v>
      </x:c>
      <x:c r="Q36" t="str">
        <x:v>TRANSFER_RESTRICTED</x:v>
      </x:c>
      <x:c r="R36" t="str">
        <x:v>TRANSFER AUTHORITY — REVIEW</x:v>
      </x:c>
      <x:c r="S36"/>
      <x:c r="T36" t="str">
        <x:v>NOT SCORED</x:v>
      </x:c>
      <x:c r="U36" t="str">
        <x:v>FEDERAL TITLE — DISPOSITION REVIEW</x:v>
      </x:c>
    </x:row>
    <x:row r="37">
      <x:c r="A37" t="str">
        <x:v>SHD-036</x:v>
      </x:c>
      <x:c r="B37" t="str">
        <x:v>IDENTIFIED</x:v>
      </x:c>
      <x:c r="C37" t="str"/>
      <x:c r="D37" t="str"/>
      <x:c r="E37" t="str">
        <x:v>UNVERIFIED</x:v>
      </x:c>
      <x:c r="F37" t="str"/>
      <x:c r="G37" t="str"/>
      <x:c r="H37" t="str"/>
      <x:c r="I37" t="str"/>
      <x:c r="J37" t="str">
        <x:v>PARTIAL</x:v>
      </x:c>
      <x:c r="K37" t="str">
        <x:v>UNASSESSED</x:v>
      </x:c>
      <x:c r="L37" t="str">
        <x:v>UNASSESSED</x:v>
      </x:c>
      <x:c r="M37" t="str">
        <x:v>UNASSESSED</x:v>
      </x:c>
      <x:c r="N37" t="str">
        <x:v>UNASSESSED</x:v>
      </x:c>
      <x:c r="O37" t="str">
        <x:v>UNASSESSED</x:v>
      </x:c>
      <x:c r="P37" t="str">
        <x:v>UNASSESSED</x:v>
      </x:c>
      <x:c r="Q37" t="str">
        <x:v>TRANSFER_RESTRICTED</x:v>
      </x:c>
      <x:c r="R37" t="str">
        <x:v>TRANSFER AUTHORITY — REVIEW</x:v>
      </x:c>
      <x:c r="S37"/>
      <x:c r="T37" t="str">
        <x:v>NOT SCORED</x:v>
      </x:c>
      <x:c r="U37" t="str">
        <x:v>FEDERAL TITLE — DISPOSITION REVIEW</x:v>
      </x:c>
    </x:row>
  </x:sheetData>
  <x:dataValidations count="2">
    <x:dataValidation type="list" sqref="E2:E500">
      <x:formula1>"UNVERIFIED,SOURCE_LOCATED,RECORD_MATCHED,TITLE_VERIFIED,TITLE_VERIFIED_WITH_EXCEPTIONS,TITLE_DISPUTED,TITLE_STALE,TITLE_SUPERSEDED"</x:formula1>
    </x:dataValidation>
    <x:dataValidation type="list" sqref="Q2:Q500">
      <x:formula1>"NOT_TRANSFERABLE,TRANSFER_RESTRICTED,CONSENT_REQUIRED,REGULATORY_APPROVAL_REQUIRED,LIEN_RELEASE_REQUIRED,CLAIM_RESOLUTION_REQUIRED,TITLE_CURE_REQUIRED,TRANSFER_ELIGIBLE,TRANSFER_AUTHORIZED,TRANSFER_PENDING,TRANSFER_RECORDED"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354c768274d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8" hidden="0" customWidth="1"/>
    <x:col min="7" max="7" width="36" hidden="0" customWidth="1"/>
    <x:col min="8" max="8" width="12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6" hidden="0" customWidth="1"/>
    <x:col min="16" max="16" width="18" hidden="0" customWidth="1"/>
    <x:col min="17" max="17" width="52" hidden="0" customWidth="1"/>
  </x:cols>
  <x:sheetData>
    <x:row r="1" ht="30" customHeight="1">
      <x:c r="A1" s="18" t="str">
        <x:v>Asset_ID</x:v>
      </x:c>
      <x:c r="B1" s="18" t="str">
        <x:v>Right_or_Obligation_ID</x:v>
      </x:c>
      <x:c r="C1" s="18" t="str">
        <x:v>Record_Type</x:v>
      </x:c>
      <x:c r="D1" s="18" t="str">
        <x:v>Subtype</x:v>
      </x:c>
      <x:c r="E1" s="18" t="str">
        <x:v>Holder_or_Obligor</x:v>
      </x:c>
      <x:c r="F1" s="18" t="str">
        <x:v>Beneficiary_or_Authority</x:v>
      </x:c>
      <x:c r="G1" s="18" t="str">
        <x:v>Scope</x:v>
      </x:c>
      <x:c r="H1" s="18" t="str">
        <x:v>Priority</x:v>
      </x:c>
      <x:c r="I1" s="18" t="str">
        <x:v>Effective_Date</x:v>
      </x:c>
      <x:c r="J1" s="18" t="str">
        <x:v>Expiration_or_Due_Date</x:v>
      </x:c>
      <x:c r="K1" s="18" t="str">
        <x:v>Estimated_Amount_USD</x:v>
      </x:c>
      <x:c r="L1" s="18" t="str">
        <x:v>Successor_Liability</x:v>
      </x:c>
      <x:c r="M1" s="18" t="str">
        <x:v>Transferability</x:v>
      </x:c>
      <x:c r="N1" s="18" t="str">
        <x:v>Status</x:v>
      </x:c>
      <x:c r="O1" s="18" t="str">
        <x:v>Source_Record</x:v>
      </x:c>
      <x:c r="P1" s="18" t="str">
        <x:v>Evidence_State</x:v>
      </x:c>
      <x:c r="Q1" s="18" t="str">
        <x:v>Notes</x:v>
      </x:c>
    </x:row>
    <x:row r="2">
      <x:c r="A2" t="str">
        <x:v>SHD-009</x:v>
      </x:c>
      <x:c r="B2" t="str">
        <x:v>RGT-SHD009-001</x:v>
      </x:c>
      <x:c r="C2" t="str">
        <x:v>RIGHT</x:v>
      </x:c>
      <x:c r="D2" t="str">
        <x:v>MINERAL_RIGHTS</x:v>
      </x:c>
      <x:c r="E2" t="str"/>
      <x:c r="F2" t="str"/>
      <x:c r="G2" t="str">
        <x:v>~133.6 net mineral acres</x:v>
      </x:c>
      <x:c r="H2" t="str"/>
      <x:c r="I2" t="str"/>
      <x:c r="J2" t="str"/>
      <x:c r="K2" s="22" t="str"/>
      <x:c r="L2" t="str">
        <x:v>UNKNOWN</x:v>
      </x:c>
      <x:c r="M2" t="str">
        <x:v>UNKNOWN</x:v>
      </x:c>
      <x:c r="N2" t="str">
        <x:v>REVIEW_REQUIRED</x:v>
      </x:c>
      <x:c r="O2" t="str"/>
      <x:c r="P2" t="str">
        <x:v>SUBMITTED</x:v>
      </x:c>
      <x:c r="Q2" t="str">
        <x:v>Confirm exact mineral estate, reservations, operator rights and burdens from recorded instrument.</x:v>
      </x:c>
    </x:row>
    <x:row r="3">
      <x:c r="A3" t="str">
        <x:v>SHD-021</x:v>
      </x:c>
      <x:c r="B3" t="str">
        <x:v>RGT-SHD021-001</x:v>
      </x:c>
      <x:c r="C3" t="str">
        <x:v>RIGHT</x:v>
      </x:c>
      <x:c r="D3" t="str">
        <x:v>WATER_RIGHTS</x:v>
      </x:c>
      <x:c r="E3" t="str"/>
      <x:c r="F3" t="str"/>
      <x:c r="G3" t="str">
        <x:v>Included in GSA offering per prior research</x:v>
      </x:c>
      <x:c r="H3" t="str"/>
      <x:c r="I3" t="str"/>
      <x:c r="J3" t="str"/>
      <x:c r="K3" s="22" t="str"/>
      <x:c r="L3" t="str">
        <x:v>UNKNOWN</x:v>
      </x:c>
      <x:c r="M3" t="str">
        <x:v>UNKNOWN</x:v>
      </x:c>
      <x:c r="N3" t="str">
        <x:v>UNRESOLVED</x:v>
      </x:c>
      <x:c r="O3" t="str"/>
      <x:c r="P3" t="str">
        <x:v>SUBMITTED</x:v>
      </x:c>
      <x:c r="Q3" t="str">
        <x:v>Confirm exact deed language and whether rights conveyed or reserved.</x:v>
      </x:c>
    </x:row>
    <x:row r="4">
      <x:c r="A4" t="str">
        <x:v>SHD-021</x:v>
      </x:c>
      <x:c r="B4" t="str">
        <x:v>RGT-SHD021-002</x:v>
      </x:c>
      <x:c r="C4" t="str">
        <x:v>RIGHT</x:v>
      </x:c>
      <x:c r="D4" t="str">
        <x:v>MINERAL_RIGHTS</x:v>
      </x:c>
      <x:c r="E4" t="str"/>
      <x:c r="F4" t="str"/>
      <x:c r="G4" t="str">
        <x:v>Included in GSA offering per prior research</x:v>
      </x:c>
      <x:c r="H4" t="str"/>
      <x:c r="I4" t="str"/>
      <x:c r="J4" t="str"/>
      <x:c r="K4" s="22" t="str"/>
      <x:c r="L4" t="str">
        <x:v>UNKNOWN</x:v>
      </x:c>
      <x:c r="M4" t="str">
        <x:v>UNKNOWN</x:v>
      </x:c>
      <x:c r="N4" t="str">
        <x:v>UNRESOLVED</x:v>
      </x:c>
      <x:c r="O4" t="str"/>
      <x:c r="P4" t="str">
        <x:v>SUBMITTED</x:v>
      </x:c>
      <x:c r="Q4" t="str">
        <x:v>Confirm exact estate, reservations and existing leases.</x:v>
      </x:c>
    </x:row>
    <x:row r="5">
      <x:c r="A5" t="str">
        <x:v>SHD-021</x:v>
      </x:c>
      <x:c r="B5" t="str">
        <x:v>RGT-SHD021-003</x:v>
      </x:c>
      <x:c r="C5" t="str">
        <x:v>RIGHT</x:v>
      </x:c>
      <x:c r="D5" t="str">
        <x:v>OIL_GAS_RIGHTS</x:v>
      </x:c>
      <x:c r="E5" t="str"/>
      <x:c r="F5" t="str"/>
      <x:c r="G5" t="str">
        <x:v>Included in GSA offering per prior research</x:v>
      </x:c>
      <x:c r="H5" t="str"/>
      <x:c r="I5" t="str"/>
      <x:c r="J5" t="str"/>
      <x:c r="K5" s="22" t="str"/>
      <x:c r="L5" t="str">
        <x:v>UNKNOWN</x:v>
      </x:c>
      <x:c r="M5" t="str">
        <x:v>UNKNOWN</x:v>
      </x:c>
      <x:c r="N5" t="str">
        <x:v>UNRESOLVED</x:v>
      </x:c>
      <x:c r="O5" t="str"/>
      <x:c r="P5" t="str">
        <x:v>SUBMITTED</x:v>
      </x:c>
      <x:c r="Q5" t="str">
        <x:v>Identify active/abandoned infrastructure and operator obligations.</x:v>
      </x:c>
    </x:row>
    <x:row r="6">
      <x:c r="A6" t="str">
        <x:v>SHD-024</x:v>
      </x:c>
      <x:c r="B6" t="str">
        <x:v>ENV-SHD024-001</x:v>
      </x:c>
      <x:c r="C6" t="str">
        <x:v>OBLIGATION</x:v>
      </x:c>
      <x:c r="D6" t="str">
        <x:v>FLOODWAY_RESTRICTION</x:v>
      </x:c>
      <x:c r="E6" t="str"/>
      <x:c r="F6" t="str">
        <x:v>Local/state/federal flood authorities</x:v>
      </x:c>
      <x:c r="G6" t="str">
        <x:v>Parcel in regulatory floodway</x:v>
      </x:c>
      <x:c r="H6" t="str"/>
      <x:c r="I6" t="str"/>
      <x:c r="J6" t="str"/>
      <x:c r="K6" s="22" t="str"/>
      <x:c r="L6" t="str">
        <x:v>UNKNOWN</x:v>
      </x:c>
      <x:c r="M6" t="str">
        <x:v>RESTRICTED</x:v>
      </x:c>
      <x:c r="N6" t="str">
        <x:v>REVIEW_REQUIRED</x:v>
      </x:c>
      <x:c r="O6" t="str"/>
      <x:c r="P6" t="str">
        <x:v>SUBMITTED</x:v>
      </x:c>
      <x:c r="Q6" t="str">
        <x:v>Capture mapped floodway limits, permitted uses and mitigation obligations.</x:v>
      </x:c>
    </x:row>
    <x:row r="7">
      <x:c r="A7" t="str">
        <x:v>SHD-027</x:v>
      </x:c>
      <x:c r="B7" t="str">
        <x:v>ENV-SHD027-001</x:v>
      </x:c>
      <x:c r="C7" t="str">
        <x:v>ENVIRONMENTAL</x:v>
      </x:c>
      <x:c r="D7" t="str">
        <x:v>PCB_REMEDIATION</x:v>
      </x:c>
      <x:c r="E7" t="str"/>
      <x:c r="F7" t="str">
        <x:v>Environmental regulators</x:v>
      </x:c>
      <x:c r="G7" t="str">
        <x:v>Reported PCB/remediation issues</x:v>
      </x:c>
      <x:c r="H7" t="str"/>
      <x:c r="I7" t="str"/>
      <x:c r="J7" t="str"/>
      <x:c r="K7" s="22" t="n">
        <x:v>1800000</x:v>
      </x:c>
      <x:c r="L7" t="str">
        <x:v>POSSIBLE</x:v>
      </x:c>
      <x:c r="M7" t="str">
        <x:v>UNKNOWN</x:v>
      </x:c>
      <x:c r="N7" t="str">
        <x:v>KNOWN_CONDITION</x:v>
      </x:c>
      <x:c r="O7" t="str"/>
      <x:c r="P7" t="str">
        <x:v>SOURCE_VERIFIED</x:v>
      </x:c>
      <x:c r="Q7" t="str">
        <x:v>Reported remediation range roughly $1.8M–$3M; verify with environmental reports before canonicalizing amount.</x:v>
      </x:c>
    </x:row>
    <x:row r="8">
      <x:c r="A8" t="str">
        <x:v>SHD-034</x:v>
      </x:c>
      <x:c r="B8" t="str">
        <x:v>ENV-SHD034-001</x:v>
      </x:c>
      <x:c r="C8" t="str">
        <x:v>ENVIRONMENTAL</x:v>
      </x:c>
      <x:c r="D8" t="str">
        <x:v>SPECIALIZED_FEDERAL_CAMPUS</x:v>
      </x:c>
      <x:c r="E8" t="str"/>
      <x:c r="F8" t="str"/>
      <x:c r="G8" t="str">
        <x:v>Laboratory/specialized facility — environmental review required</x:v>
      </x:c>
      <x:c r="H8" t="str"/>
      <x:c r="I8" t="str"/>
      <x:c r="J8" t="str"/>
      <x:c r="K8" s="22" t="str"/>
      <x:c r="L8" t="str">
        <x:v>UNKNOWN</x:v>
      </x:c>
      <x:c r="M8" t="str">
        <x:v>UNKNOWN</x:v>
      </x:c>
      <x:c r="N8" t="str">
        <x:v>REVIEW_REQUIRED</x:v>
      </x:c>
      <x:c r="O8" t="str"/>
      <x:c r="P8" t="str">
        <x:v>SOURCE_VERIFIED</x:v>
      </x:c>
      <x:c r="Q8" t="str">
        <x:v>Resolve hazardous materials, lab decommissioning, utilities and successor obligations.</x:v>
      </x:c>
    </x:row>
    <x:row r="9">
      <x:c r="K9" s="22"/>
    </x:row>
    <x:row r="10">
      <x:c r="K10" s="22"/>
    </x:row>
    <x:row r="11">
      <x:c r="K11" s="22"/>
    </x:row>
    <x:row r="12">
      <x:c r="K12" s="22"/>
    </x:row>
    <x:row r="13">
      <x:c r="K13" s="22"/>
    </x:row>
    <x:row r="14">
      <x:c r="K14" s="22"/>
    </x:row>
    <x:row r="15">
      <x:c r="K15" s="22"/>
    </x:row>
    <x:row r="16">
      <x:c r="K16" s="22"/>
    </x:row>
    <x:row r="17">
      <x:c r="K17" s="22"/>
    </x:row>
    <x:row r="18">
      <x:c r="K18" s="22"/>
    </x:row>
    <x:row r="19">
      <x:c r="K19" s="22"/>
    </x:row>
    <x:row r="20">
      <x:c r="K20" s="22"/>
    </x:row>
    <x:row r="21">
      <x:c r="K21" s="22"/>
    </x:row>
    <x:row r="22">
      <x:c r="K22" s="22"/>
    </x:row>
    <x:row r="23">
      <x:c r="K23" s="22"/>
    </x:row>
    <x:row r="24">
      <x:c r="K24" s="22"/>
    </x:row>
    <x:row r="25">
      <x:c r="K25" s="22"/>
    </x:row>
    <x:row r="26">
      <x:c r="K26" s="22"/>
    </x:row>
    <x:row r="27">
      <x:c r="K27" s="22"/>
    </x:row>
    <x:row r="28">
      <x:c r="K28" s="22"/>
    </x:row>
    <x:row r="29">
      <x:c r="K29" s="22"/>
    </x:row>
    <x:row r="30">
      <x:c r="K30" s="22"/>
    </x:row>
    <x:row r="31">
      <x:c r="K31" s="22"/>
    </x:row>
    <x:row r="32">
      <x:c r="K32" s="22"/>
    </x:row>
    <x:row r="33">
      <x:c r="K33" s="22"/>
    </x:row>
    <x:row r="34">
      <x:c r="K34" s="22"/>
    </x:row>
    <x:row r="35">
      <x:c r="K35" s="22"/>
    </x:row>
    <x:row r="36">
      <x:c r="K36" s="22"/>
    </x:row>
    <x:row r="37">
      <x:c r="K37" s="22"/>
    </x:row>
    <x:row r="38">
      <x:c r="K38" s="22"/>
    </x:row>
    <x:row r="39">
      <x:c r="K39" s="22"/>
    </x:row>
    <x:row r="40">
      <x:c r="K40" s="22"/>
    </x:row>
    <x:row r="41">
      <x:c r="K41" s="22"/>
    </x:row>
    <x:row r="42">
      <x:c r="K42" s="22"/>
    </x:row>
    <x:row r="43">
      <x:c r="K43" s="22"/>
    </x:row>
    <x:row r="44">
      <x:c r="K44" s="22"/>
    </x:row>
    <x:row r="45">
      <x:c r="K45" s="22"/>
    </x:row>
    <x:row r="46">
      <x:c r="K46" s="22"/>
    </x:row>
    <x:row r="47">
      <x:c r="K47" s="22"/>
    </x:row>
    <x:row r="48">
      <x:c r="K48" s="22"/>
    </x:row>
    <x:row r="49">
      <x:c r="K49" s="22"/>
    </x:row>
    <x:row r="50">
      <x:c r="K50" s="22"/>
    </x:row>
    <x:row r="51">
      <x:c r="K51" s="22"/>
    </x:row>
    <x:row r="52">
      <x:c r="K52" s="22"/>
    </x:row>
    <x:row r="53">
      <x:c r="K53" s="22"/>
    </x:row>
    <x:row r="54">
      <x:c r="K54" s="22"/>
    </x:row>
    <x:row r="55">
      <x:c r="K55" s="22"/>
    </x:row>
    <x:row r="56">
      <x:c r="K56" s="22"/>
    </x:row>
    <x:row r="57">
      <x:c r="K57" s="22"/>
    </x:row>
    <x:row r="58">
      <x:c r="K58" s="22"/>
    </x:row>
    <x:row r="59">
      <x:c r="K59" s="22"/>
    </x:row>
    <x:row r="60">
      <x:c r="K60" s="22"/>
    </x:row>
    <x:row r="61">
      <x:c r="K61" s="22"/>
    </x:row>
    <x:row r="62">
      <x:c r="K62" s="22"/>
    </x:row>
    <x:row r="63">
      <x:c r="K63" s="22"/>
    </x:row>
    <x:row r="64">
      <x:c r="K64" s="22"/>
    </x:row>
    <x:row r="65">
      <x:c r="K65" s="22"/>
    </x:row>
    <x:row r="66">
      <x:c r="K66" s="22"/>
    </x:row>
    <x:row r="67">
      <x:c r="K67" s="22"/>
    </x:row>
    <x:row r="68">
      <x:c r="K68" s="22"/>
    </x:row>
    <x:row r="69">
      <x:c r="K69" s="22"/>
    </x:row>
    <x:row r="70">
      <x:c r="K70" s="22"/>
    </x:row>
    <x:row r="71">
      <x:c r="K71" s="22"/>
    </x:row>
    <x:row r="72">
      <x:c r="K72" s="22"/>
    </x:row>
    <x:row r="73">
      <x:c r="K73" s="22"/>
    </x:row>
    <x:row r="74">
      <x:c r="K74" s="22"/>
    </x:row>
    <x:row r="75">
      <x:c r="K75" s="22"/>
    </x:row>
    <x:row r="76">
      <x:c r="K76" s="22"/>
    </x:row>
    <x:row r="77">
      <x:c r="K77" s="22"/>
    </x:row>
    <x:row r="78">
      <x:c r="K78" s="22"/>
    </x:row>
    <x:row r="79">
      <x:c r="K79" s="22"/>
    </x:row>
    <x:row r="80">
      <x:c r="K80" s="22"/>
    </x:row>
    <x:row r="81">
      <x:c r="K81" s="22"/>
    </x:row>
    <x:row r="82">
      <x:c r="K82" s="22"/>
    </x:row>
    <x:row r="83">
      <x:c r="K83" s="22"/>
    </x:row>
    <x:row r="84">
      <x:c r="K84" s="22"/>
    </x:row>
    <x:row r="85">
      <x:c r="K85" s="22"/>
    </x:row>
    <x:row r="86">
      <x:c r="K86" s="22"/>
    </x:row>
    <x:row r="87">
      <x:c r="K87" s="22"/>
    </x:row>
    <x:row r="88">
      <x:c r="K88" s="22"/>
    </x:row>
    <x:row r="89">
      <x:c r="K89" s="22"/>
    </x:row>
    <x:row r="90">
      <x:c r="K90" s="22"/>
    </x:row>
    <x:row r="91">
      <x:c r="K91" s="22"/>
    </x:row>
    <x:row r="92">
      <x:c r="K92" s="22"/>
    </x:row>
    <x:row r="93">
      <x:c r="K93" s="22"/>
    </x:row>
    <x:row r="94">
      <x:c r="K94" s="22"/>
    </x:row>
    <x:row r="95">
      <x:c r="K95" s="22"/>
    </x:row>
    <x:row r="96">
      <x:c r="K96" s="22"/>
    </x:row>
    <x:row r="97">
      <x:c r="K97" s="22"/>
    </x:row>
    <x:row r="98">
      <x:c r="K98" s="22"/>
    </x:row>
    <x:row r="99">
      <x:c r="K99" s="22"/>
    </x:row>
    <x:row r="100">
      <x:c r="K100" s="22"/>
    </x:row>
    <x:row r="101">
      <x:c r="K101" s="22"/>
    </x:row>
    <x:row r="102">
      <x:c r="K102" s="22"/>
    </x:row>
    <x:row r="103">
      <x:c r="K103" s="22"/>
    </x:row>
    <x:row r="104">
      <x:c r="K104" s="22"/>
    </x:row>
    <x:row r="105">
      <x:c r="K105" s="22"/>
    </x:row>
    <x:row r="106">
      <x:c r="K106" s="22"/>
    </x:row>
    <x:row r="107">
      <x:c r="K107" s="22"/>
    </x:row>
    <x:row r="108">
      <x:c r="K108" s="22"/>
    </x:row>
    <x:row r="109">
      <x:c r="K109" s="22"/>
    </x:row>
    <x:row r="110">
      <x:c r="K110" s="22"/>
    </x:row>
    <x:row r="111">
      <x:c r="K111" s="22"/>
    </x:row>
    <x:row r="112">
      <x:c r="K112" s="22"/>
    </x:row>
    <x:row r="113">
      <x:c r="K113" s="22"/>
    </x:row>
    <x:row r="114">
      <x:c r="K114" s="22"/>
    </x:row>
    <x:row r="115">
      <x:c r="K115" s="22"/>
    </x:row>
    <x:row r="116">
      <x:c r="K116" s="22"/>
    </x:row>
    <x:row r="117">
      <x:c r="K117" s="22"/>
    </x:row>
    <x:row r="118">
      <x:c r="K118" s="22"/>
    </x:row>
    <x:row r="119">
      <x:c r="K119" s="22"/>
    </x:row>
    <x:row r="120">
      <x:c r="K120" s="22"/>
    </x:row>
    <x:row r="121">
      <x:c r="K121" s="22"/>
    </x:row>
    <x:row r="122">
      <x:c r="K122" s="22"/>
    </x:row>
    <x:row r="123">
      <x:c r="K123" s="22"/>
    </x:row>
    <x:row r="124">
      <x:c r="K124" s="22"/>
    </x:row>
    <x:row r="125">
      <x:c r="K125" s="22"/>
    </x:row>
    <x:row r="126">
      <x:c r="K126" s="22"/>
    </x:row>
    <x:row r="127">
      <x:c r="K127" s="22"/>
    </x:row>
    <x:row r="128">
      <x:c r="K128" s="22"/>
    </x:row>
    <x:row r="129">
      <x:c r="K129" s="22"/>
    </x:row>
    <x:row r="130">
      <x:c r="K130" s="22"/>
    </x:row>
    <x:row r="131">
      <x:c r="K131" s="22"/>
    </x:row>
    <x:row r="132">
      <x:c r="K132" s="22"/>
    </x:row>
    <x:row r="133">
      <x:c r="K133" s="22"/>
    </x:row>
    <x:row r="134">
      <x:c r="K134" s="22"/>
    </x:row>
    <x:row r="135">
      <x:c r="K135" s="22"/>
    </x:row>
    <x:row r="136">
      <x:c r="K136" s="22"/>
    </x:row>
    <x:row r="137">
      <x:c r="K137" s="22"/>
    </x:row>
    <x:row r="138">
      <x:c r="K138" s="22"/>
    </x:row>
    <x:row r="139">
      <x:c r="K139" s="22"/>
    </x:row>
    <x:row r="140">
      <x:c r="K140" s="22"/>
    </x:row>
    <x:row r="141">
      <x:c r="K141" s="22"/>
    </x:row>
    <x:row r="142">
      <x:c r="K142" s="22"/>
    </x:row>
    <x:row r="143">
      <x:c r="K143" s="22"/>
    </x:row>
    <x:row r="144">
      <x:c r="K144" s="22"/>
    </x:row>
    <x:row r="145">
      <x:c r="K145" s="22"/>
    </x:row>
    <x:row r="146">
      <x:c r="K146" s="22"/>
    </x:row>
    <x:row r="147">
      <x:c r="K147" s="22"/>
    </x:row>
    <x:row r="148">
      <x:c r="K148" s="22"/>
    </x:row>
    <x:row r="149">
      <x:c r="K149" s="22"/>
    </x:row>
    <x:row r="150">
      <x:c r="K150" s="22"/>
    </x:row>
    <x:row r="151">
      <x:c r="K151" s="22"/>
    </x:row>
    <x:row r="152">
      <x:c r="K152" s="22"/>
    </x:row>
    <x:row r="153">
      <x:c r="K153" s="22"/>
    </x:row>
    <x:row r="154">
      <x:c r="K154" s="22"/>
    </x:row>
    <x:row r="155">
      <x:c r="K155" s="22"/>
    </x:row>
    <x:row r="156">
      <x:c r="K156" s="22"/>
    </x:row>
    <x:row r="157">
      <x:c r="K157" s="22"/>
    </x:row>
    <x:row r="158">
      <x:c r="K158" s="22"/>
    </x:row>
    <x:row r="159">
      <x:c r="K159" s="22"/>
    </x:row>
    <x:row r="160">
      <x:c r="K160" s="22"/>
    </x:row>
    <x:row r="161">
      <x:c r="K161" s="22"/>
    </x:row>
    <x:row r="162">
      <x:c r="K162" s="22"/>
    </x:row>
    <x:row r="163">
      <x:c r="K163" s="22"/>
    </x:row>
    <x:row r="164">
      <x:c r="K164" s="22"/>
    </x:row>
    <x:row r="165">
      <x:c r="K165" s="22"/>
    </x:row>
    <x:row r="166">
      <x:c r="K166" s="22"/>
    </x:row>
    <x:row r="167">
      <x:c r="K167" s="22"/>
    </x:row>
    <x:row r="168">
      <x:c r="K168" s="22"/>
    </x:row>
    <x:row r="169">
      <x:c r="K169" s="22"/>
    </x:row>
    <x:row r="170">
      <x:c r="K170" s="22"/>
    </x:row>
    <x:row r="171">
      <x:c r="K171" s="22"/>
    </x:row>
    <x:row r="172">
      <x:c r="K172" s="22"/>
    </x:row>
    <x:row r="173">
      <x:c r="K173" s="22"/>
    </x:row>
    <x:row r="174">
      <x:c r="K174" s="22"/>
    </x:row>
    <x:row r="175">
      <x:c r="K175" s="22"/>
    </x:row>
    <x:row r="176">
      <x:c r="K176" s="22"/>
    </x:row>
    <x:row r="177">
      <x:c r="K177" s="22"/>
    </x:row>
    <x:row r="178">
      <x:c r="K178" s="22"/>
    </x:row>
    <x:row r="179">
      <x:c r="K179" s="22"/>
    </x:row>
    <x:row r="180">
      <x:c r="K180" s="22"/>
    </x:row>
    <x:row r="181">
      <x:c r="K181" s="22"/>
    </x:row>
    <x:row r="182">
      <x:c r="K182" s="22"/>
    </x:row>
    <x:row r="183">
      <x:c r="K183" s="22"/>
    </x:row>
    <x:row r="184">
      <x:c r="K184" s="22"/>
    </x:row>
    <x:row r="185">
      <x:c r="K185" s="22"/>
    </x:row>
    <x:row r="186">
      <x:c r="K186" s="22"/>
    </x:row>
    <x:row r="187">
      <x:c r="K187" s="22"/>
    </x:row>
    <x:row r="188">
      <x:c r="K188" s="22"/>
    </x:row>
    <x:row r="189">
      <x:c r="K189" s="22"/>
    </x:row>
    <x:row r="190">
      <x:c r="K190" s="22"/>
    </x:row>
    <x:row r="191">
      <x:c r="K191" s="22"/>
    </x:row>
    <x:row r="192">
      <x:c r="K192" s="22"/>
    </x:row>
    <x:row r="193">
      <x:c r="K193" s="22"/>
    </x:row>
    <x:row r="194">
      <x:c r="K194" s="22"/>
    </x:row>
    <x:row r="195">
      <x:c r="K195" s="22"/>
    </x:row>
    <x:row r="196">
      <x:c r="K196" s="22"/>
    </x:row>
    <x:row r="197">
      <x:c r="K197" s="22"/>
    </x:row>
    <x:row r="198">
      <x:c r="K198" s="22"/>
    </x:row>
    <x:row r="199">
      <x:c r="K199" s="22"/>
    </x:row>
    <x:row r="200">
      <x:c r="K200" s="22"/>
    </x:row>
    <x:row r="201">
      <x:c r="K201" s="22"/>
    </x:row>
    <x:row r="202">
      <x:c r="K202" s="22"/>
    </x:row>
    <x:row r="203">
      <x:c r="K203" s="22"/>
    </x:row>
    <x:row r="204">
      <x:c r="K204" s="22"/>
    </x:row>
    <x:row r="205">
      <x:c r="K205" s="22"/>
    </x:row>
    <x:row r="206">
      <x:c r="K206" s="22"/>
    </x:row>
    <x:row r="207">
      <x:c r="K207" s="22"/>
    </x:row>
    <x:row r="208">
      <x:c r="K208" s="22"/>
    </x:row>
    <x:row r="209">
      <x:c r="K209" s="22"/>
    </x:row>
    <x:row r="210">
      <x:c r="K210" s="22"/>
    </x:row>
    <x:row r="211">
      <x:c r="K211" s="22"/>
    </x:row>
    <x:row r="212">
      <x:c r="K212" s="22"/>
    </x:row>
    <x:row r="213">
      <x:c r="K213" s="22"/>
    </x:row>
    <x:row r="214">
      <x:c r="K214" s="22"/>
    </x:row>
    <x:row r="215">
      <x:c r="K215" s="22"/>
    </x:row>
    <x:row r="216">
      <x:c r="K216" s="22"/>
    </x:row>
    <x:row r="217">
      <x:c r="K217" s="22"/>
    </x:row>
    <x:row r="218">
      <x:c r="K218" s="22"/>
    </x:row>
    <x:row r="219">
      <x:c r="K219" s="22"/>
    </x:row>
    <x:row r="220">
      <x:c r="K220" s="22"/>
    </x:row>
    <x:row r="221">
      <x:c r="K221" s="22"/>
    </x:row>
    <x:row r="222">
      <x:c r="K222" s="22"/>
    </x:row>
    <x:row r="223">
      <x:c r="K223" s="22"/>
    </x:row>
    <x:row r="224">
      <x:c r="K224" s="22"/>
    </x:row>
    <x:row r="225">
      <x:c r="K225" s="22"/>
    </x:row>
    <x:row r="226">
      <x:c r="K226" s="22"/>
    </x:row>
    <x:row r="227">
      <x:c r="K227" s="22"/>
    </x:row>
    <x:row r="228">
      <x:c r="K228" s="22"/>
    </x:row>
    <x:row r="229">
      <x:c r="K229" s="22"/>
    </x:row>
    <x:row r="230">
      <x:c r="K230" s="22"/>
    </x:row>
    <x:row r="231">
      <x:c r="K231" s="22"/>
    </x:row>
    <x:row r="232">
      <x:c r="K232" s="22"/>
    </x:row>
    <x:row r="233">
      <x:c r="K233" s="22"/>
    </x:row>
    <x:row r="234">
      <x:c r="K234" s="22"/>
    </x:row>
    <x:row r="235">
      <x:c r="K235" s="22"/>
    </x:row>
    <x:row r="236">
      <x:c r="K236" s="22"/>
    </x:row>
    <x:row r="237">
      <x:c r="K237" s="22"/>
    </x:row>
    <x:row r="238">
      <x:c r="K238" s="22"/>
    </x:row>
    <x:row r="239">
      <x:c r="K239" s="22"/>
    </x:row>
    <x:row r="240">
      <x:c r="K240" s="22"/>
    </x:row>
    <x:row r="241">
      <x:c r="K241" s="22"/>
    </x:row>
    <x:row r="242">
      <x:c r="K242" s="22"/>
    </x:row>
    <x:row r="243">
      <x:c r="K243" s="22"/>
    </x:row>
    <x:row r="244">
      <x:c r="K244" s="22"/>
    </x:row>
    <x:row r="245">
      <x:c r="K245" s="22"/>
    </x:row>
    <x:row r="246">
      <x:c r="K246" s="22"/>
    </x:row>
    <x:row r="247">
      <x:c r="K247" s="22"/>
    </x:row>
    <x:row r="248">
      <x:c r="K248" s="22"/>
    </x:row>
    <x:row r="249">
      <x:c r="K249" s="22"/>
    </x:row>
    <x:row r="250">
      <x:c r="K250" s="22"/>
    </x:row>
    <x:row r="251">
      <x:c r="K251" s="22"/>
    </x:row>
    <x:row r="252">
      <x:c r="K252" s="22"/>
    </x:row>
    <x:row r="253">
      <x:c r="K253" s="22"/>
    </x:row>
    <x:row r="254">
      <x:c r="K254" s="22"/>
    </x:row>
    <x:row r="255">
      <x:c r="K255" s="22"/>
    </x:row>
    <x:row r="256">
      <x:c r="K256" s="22"/>
    </x:row>
    <x:row r="257">
      <x:c r="K257" s="22"/>
    </x:row>
    <x:row r="258">
      <x:c r="K258" s="22"/>
    </x:row>
    <x:row r="259">
      <x:c r="K259" s="22"/>
    </x:row>
    <x:row r="260">
      <x:c r="K260" s="22"/>
    </x:row>
    <x:row r="261">
      <x:c r="K261" s="22"/>
    </x:row>
    <x:row r="262">
      <x:c r="K262" s="22"/>
    </x:row>
    <x:row r="263">
      <x:c r="K263" s="22"/>
    </x:row>
    <x:row r="264">
      <x:c r="K264" s="22"/>
    </x:row>
    <x:row r="265">
      <x:c r="K265" s="22"/>
    </x:row>
    <x:row r="266">
      <x:c r="K266" s="22"/>
    </x:row>
    <x:row r="267">
      <x:c r="K267" s="22"/>
    </x:row>
    <x:row r="268">
      <x:c r="K268" s="22"/>
    </x:row>
    <x:row r="269">
      <x:c r="K269" s="22"/>
    </x:row>
    <x:row r="270">
      <x:c r="K270" s="22"/>
    </x:row>
    <x:row r="271">
      <x:c r="K271" s="22"/>
    </x:row>
    <x:row r="272">
      <x:c r="K272" s="22"/>
    </x:row>
    <x:row r="273">
      <x:c r="K273" s="22"/>
    </x:row>
    <x:row r="274">
      <x:c r="K274" s="22"/>
    </x:row>
    <x:row r="275">
      <x:c r="K275" s="22"/>
    </x:row>
    <x:row r="276">
      <x:c r="K276" s="22"/>
    </x:row>
    <x:row r="277">
      <x:c r="K277" s="22"/>
    </x:row>
    <x:row r="278">
      <x:c r="K278" s="22"/>
    </x:row>
    <x:row r="279">
      <x:c r="K279" s="22"/>
    </x:row>
    <x:row r="280">
      <x:c r="K280" s="22"/>
    </x:row>
    <x:row r="281">
      <x:c r="K281" s="22"/>
    </x:row>
    <x:row r="282">
      <x:c r="K282" s="22"/>
    </x:row>
    <x:row r="283">
      <x:c r="K283" s="22"/>
    </x:row>
    <x:row r="284">
      <x:c r="K284" s="22"/>
    </x:row>
    <x:row r="285">
      <x:c r="K285" s="22"/>
    </x:row>
    <x:row r="286">
      <x:c r="K286" s="22"/>
    </x:row>
    <x:row r="287">
      <x:c r="K287" s="22"/>
    </x:row>
    <x:row r="288">
      <x:c r="K288" s="22"/>
    </x:row>
    <x:row r="289">
      <x:c r="K289" s="22"/>
    </x:row>
    <x:row r="290">
      <x:c r="K290" s="22"/>
    </x:row>
    <x:row r="291">
      <x:c r="K291" s="22"/>
    </x:row>
    <x:row r="292">
      <x:c r="K292" s="22"/>
    </x:row>
    <x:row r="293">
      <x:c r="K293" s="22"/>
    </x:row>
    <x:row r="294">
      <x:c r="K294" s="22"/>
    </x:row>
    <x:row r="295">
      <x:c r="K295" s="22"/>
    </x:row>
    <x:row r="296">
      <x:c r="K296" s="22"/>
    </x:row>
    <x:row r="297">
      <x:c r="K297" s="22"/>
    </x:row>
    <x:row r="298">
      <x:c r="K298" s="22"/>
    </x:row>
    <x:row r="299">
      <x:c r="K299" s="22"/>
    </x:row>
    <x:row r="300">
      <x:c r="K300" s="22"/>
    </x:row>
    <x:row r="301">
      <x:c r="K301" s="22"/>
    </x:row>
    <x:row r="302">
      <x:c r="K302" s="22"/>
    </x:row>
    <x:row r="303">
      <x:c r="K303" s="22"/>
    </x:row>
    <x:row r="304">
      <x:c r="K304" s="22"/>
    </x:row>
    <x:row r="305">
      <x:c r="K305" s="22"/>
    </x:row>
    <x:row r="306">
      <x:c r="K306" s="22"/>
    </x:row>
    <x:row r="307">
      <x:c r="K307" s="22"/>
    </x:row>
    <x:row r="308">
      <x:c r="K308" s="22"/>
    </x:row>
    <x:row r="309">
      <x:c r="K309" s="22"/>
    </x:row>
    <x:row r="310">
      <x:c r="K310" s="22"/>
    </x:row>
    <x:row r="311">
      <x:c r="K311" s="22"/>
    </x:row>
    <x:row r="312">
      <x:c r="K312" s="22"/>
    </x:row>
    <x:row r="313">
      <x:c r="K313" s="22"/>
    </x:row>
    <x:row r="314">
      <x:c r="K314" s="22"/>
    </x:row>
    <x:row r="315">
      <x:c r="K315" s="22"/>
    </x:row>
    <x:row r="316">
      <x:c r="K316" s="22"/>
    </x:row>
    <x:row r="317">
      <x:c r="K317" s="22"/>
    </x:row>
    <x:row r="318">
      <x:c r="K318" s="22"/>
    </x:row>
    <x:row r="319">
      <x:c r="K319" s="22"/>
    </x:row>
    <x:row r="320">
      <x:c r="K320" s="22"/>
    </x:row>
    <x:row r="321">
      <x:c r="K321" s="22"/>
    </x:row>
    <x:row r="322">
      <x:c r="K322" s="22"/>
    </x:row>
    <x:row r="323">
      <x:c r="K323" s="22"/>
    </x:row>
    <x:row r="324">
      <x:c r="K324" s="22"/>
    </x:row>
    <x:row r="325">
      <x:c r="K325" s="22"/>
    </x:row>
    <x:row r="326">
      <x:c r="K326" s="22"/>
    </x:row>
    <x:row r="327">
      <x:c r="K327" s="22"/>
    </x:row>
    <x:row r="328">
      <x:c r="K328" s="22"/>
    </x:row>
    <x:row r="329">
      <x:c r="K329" s="22"/>
    </x:row>
    <x:row r="330">
      <x:c r="K330" s="22"/>
    </x:row>
    <x:row r="331">
      <x:c r="K331" s="22"/>
    </x:row>
    <x:row r="332">
      <x:c r="K332" s="22"/>
    </x:row>
    <x:row r="333">
      <x:c r="K333" s="22"/>
    </x:row>
    <x:row r="334">
      <x:c r="K334" s="22"/>
    </x:row>
    <x:row r="335">
      <x:c r="K335" s="22"/>
    </x:row>
    <x:row r="336">
      <x:c r="K336" s="22"/>
    </x:row>
    <x:row r="337">
      <x:c r="K337" s="22"/>
    </x:row>
    <x:row r="338">
      <x:c r="K338" s="22"/>
    </x:row>
    <x:row r="339">
      <x:c r="K339" s="22"/>
    </x:row>
    <x:row r="340">
      <x:c r="K340" s="22"/>
    </x:row>
    <x:row r="341">
      <x:c r="K341" s="22"/>
    </x:row>
    <x:row r="342">
      <x:c r="K342" s="22"/>
    </x:row>
    <x:row r="343">
      <x:c r="K343" s="22"/>
    </x:row>
    <x:row r="344">
      <x:c r="K344" s="22"/>
    </x:row>
    <x:row r="345">
      <x:c r="K345" s="22"/>
    </x:row>
    <x:row r="346">
      <x:c r="K346" s="22"/>
    </x:row>
    <x:row r="347">
      <x:c r="K347" s="22"/>
    </x:row>
    <x:row r="348">
      <x:c r="K348" s="22"/>
    </x:row>
    <x:row r="349">
      <x:c r="K349" s="22"/>
    </x:row>
    <x:row r="350">
      <x:c r="K350" s="22"/>
    </x:row>
    <x:row r="351">
      <x:c r="K351" s="22"/>
    </x:row>
    <x:row r="352">
      <x:c r="K352" s="22"/>
    </x:row>
    <x:row r="353">
      <x:c r="K353" s="22"/>
    </x:row>
    <x:row r="354">
      <x:c r="K354" s="22"/>
    </x:row>
    <x:row r="355">
      <x:c r="K355" s="22"/>
    </x:row>
    <x:row r="356">
      <x:c r="K356" s="22"/>
    </x:row>
    <x:row r="357">
      <x:c r="K357" s="22"/>
    </x:row>
    <x:row r="358">
      <x:c r="K358" s="22"/>
    </x:row>
    <x:row r="359">
      <x:c r="K359" s="22"/>
    </x:row>
    <x:row r="360">
      <x:c r="K360" s="22"/>
    </x:row>
    <x:row r="361">
      <x:c r="K361" s="22"/>
    </x:row>
    <x:row r="362">
      <x:c r="K362" s="22"/>
    </x:row>
    <x:row r="363">
      <x:c r="K363" s="22"/>
    </x:row>
    <x:row r="364">
      <x:c r="K364" s="22"/>
    </x:row>
    <x:row r="365">
      <x:c r="K365" s="22"/>
    </x:row>
    <x:row r="366">
      <x:c r="K366" s="22"/>
    </x:row>
    <x:row r="367">
      <x:c r="K367" s="22"/>
    </x:row>
    <x:row r="368">
      <x:c r="K368" s="22"/>
    </x:row>
    <x:row r="369">
      <x:c r="K369" s="22"/>
    </x:row>
    <x:row r="370">
      <x:c r="K370" s="22"/>
    </x:row>
    <x:row r="371">
      <x:c r="K371" s="22"/>
    </x:row>
    <x:row r="372">
      <x:c r="K372" s="22"/>
    </x:row>
    <x:row r="373">
      <x:c r="K373" s="22"/>
    </x:row>
    <x:row r="374">
      <x:c r="K374" s="22"/>
    </x:row>
    <x:row r="375">
      <x:c r="K375" s="22"/>
    </x:row>
    <x:row r="376">
      <x:c r="K376" s="22"/>
    </x:row>
    <x:row r="377">
      <x:c r="K377" s="22"/>
    </x:row>
    <x:row r="378">
      <x:c r="K378" s="22"/>
    </x:row>
    <x:row r="379">
      <x:c r="K379" s="22"/>
    </x:row>
    <x:row r="380">
      <x:c r="K380" s="22"/>
    </x:row>
    <x:row r="381">
      <x:c r="K381" s="22"/>
    </x:row>
    <x:row r="382">
      <x:c r="K382" s="22"/>
    </x:row>
    <x:row r="383">
      <x:c r="K383" s="22"/>
    </x:row>
    <x:row r="384">
      <x:c r="K384" s="22"/>
    </x:row>
    <x:row r="385">
      <x:c r="K385" s="22"/>
    </x:row>
    <x:row r="386">
      <x:c r="K386" s="22"/>
    </x:row>
    <x:row r="387">
      <x:c r="K387" s="22"/>
    </x:row>
    <x:row r="388">
      <x:c r="K388" s="22"/>
    </x:row>
    <x:row r="389">
      <x:c r="K389" s="22"/>
    </x:row>
    <x:row r="390">
      <x:c r="K390" s="22"/>
    </x:row>
    <x:row r="391">
      <x:c r="K391" s="22"/>
    </x:row>
    <x:row r="392">
      <x:c r="K392" s="22"/>
    </x:row>
    <x:row r="393">
      <x:c r="K393" s="22"/>
    </x:row>
    <x:row r="394">
      <x:c r="K394" s="22"/>
    </x:row>
    <x:row r="395">
      <x:c r="K395" s="22"/>
    </x:row>
    <x:row r="396">
      <x:c r="K396" s="22"/>
    </x:row>
    <x:row r="397">
      <x:c r="K397" s="22"/>
    </x:row>
    <x:row r="398">
      <x:c r="K398" s="22"/>
    </x:row>
    <x:row r="399">
      <x:c r="K399" s="22"/>
    </x:row>
    <x:row r="400">
      <x:c r="K400" s="22"/>
    </x:row>
    <x:row r="401">
      <x:c r="K401" s="22"/>
    </x:row>
    <x:row r="402">
      <x:c r="K402" s="22"/>
    </x:row>
    <x:row r="403">
      <x:c r="K403" s="22"/>
    </x:row>
    <x:row r="404">
      <x:c r="K404" s="22"/>
    </x:row>
    <x:row r="405">
      <x:c r="K405" s="22"/>
    </x:row>
    <x:row r="406">
      <x:c r="K406" s="22"/>
    </x:row>
    <x:row r="407">
      <x:c r="K407" s="22"/>
    </x:row>
    <x:row r="408">
      <x:c r="K408" s="22"/>
    </x:row>
    <x:row r="409">
      <x:c r="K409" s="22"/>
    </x:row>
    <x:row r="410">
      <x:c r="K410" s="22"/>
    </x:row>
    <x:row r="411">
      <x:c r="K411" s="22"/>
    </x:row>
    <x:row r="412">
      <x:c r="K412" s="22"/>
    </x:row>
    <x:row r="413">
      <x:c r="K413" s="22"/>
    </x:row>
    <x:row r="414">
      <x:c r="K414" s="22"/>
    </x:row>
    <x:row r="415">
      <x:c r="K415" s="22"/>
    </x:row>
    <x:row r="416">
      <x:c r="K416" s="22"/>
    </x:row>
    <x:row r="417">
      <x:c r="K417" s="22"/>
    </x:row>
    <x:row r="418">
      <x:c r="K418" s="22"/>
    </x:row>
    <x:row r="419">
      <x:c r="K419" s="22"/>
    </x:row>
    <x:row r="420">
      <x:c r="K420" s="22"/>
    </x:row>
    <x:row r="421">
      <x:c r="K421" s="22"/>
    </x:row>
    <x:row r="422">
      <x:c r="K422" s="22"/>
    </x:row>
    <x:row r="423">
      <x:c r="K423" s="22"/>
    </x:row>
    <x:row r="424">
      <x:c r="K424" s="22"/>
    </x:row>
    <x:row r="425">
      <x:c r="K425" s="22"/>
    </x:row>
    <x:row r="426">
      <x:c r="K426" s="22"/>
    </x:row>
    <x:row r="427">
      <x:c r="K427" s="22"/>
    </x:row>
    <x:row r="428">
      <x:c r="K428" s="22"/>
    </x:row>
    <x:row r="429">
      <x:c r="K429" s="22"/>
    </x:row>
    <x:row r="430">
      <x:c r="K430" s="22"/>
    </x:row>
    <x:row r="431">
      <x:c r="K431" s="22"/>
    </x:row>
    <x:row r="432">
      <x:c r="K432" s="22"/>
    </x:row>
    <x:row r="433">
      <x:c r="K433" s="22"/>
    </x:row>
    <x:row r="434">
      <x:c r="K434" s="22"/>
    </x:row>
    <x:row r="435">
      <x:c r="K435" s="22"/>
    </x:row>
    <x:row r="436">
      <x:c r="K436" s="22"/>
    </x:row>
    <x:row r="437">
      <x:c r="K437" s="22"/>
    </x:row>
    <x:row r="438">
      <x:c r="K438" s="22"/>
    </x:row>
    <x:row r="439">
      <x:c r="K439" s="22"/>
    </x:row>
    <x:row r="440">
      <x:c r="K440" s="22"/>
    </x:row>
    <x:row r="441">
      <x:c r="K441" s="22"/>
    </x:row>
    <x:row r="442">
      <x:c r="K442" s="22"/>
    </x:row>
    <x:row r="443">
      <x:c r="K443" s="22"/>
    </x:row>
    <x:row r="444">
      <x:c r="K444" s="22"/>
    </x:row>
    <x:row r="445">
      <x:c r="K445" s="22"/>
    </x:row>
    <x:row r="446">
      <x:c r="K446" s="22"/>
    </x:row>
    <x:row r="447">
      <x:c r="K447" s="22"/>
    </x:row>
    <x:row r="448">
      <x:c r="K448" s="22"/>
    </x:row>
    <x:row r="449">
      <x:c r="K449" s="22"/>
    </x:row>
    <x:row r="450">
      <x:c r="K450" s="22"/>
    </x:row>
    <x:row r="451">
      <x:c r="K451" s="22"/>
    </x:row>
    <x:row r="452">
      <x:c r="K452" s="22"/>
    </x:row>
    <x:row r="453">
      <x:c r="K453" s="22"/>
    </x:row>
    <x:row r="454">
      <x:c r="K454" s="22"/>
    </x:row>
    <x:row r="455">
      <x:c r="K455" s="22"/>
    </x:row>
    <x:row r="456">
      <x:c r="K456" s="22"/>
    </x:row>
    <x:row r="457">
      <x:c r="K457" s="22"/>
    </x:row>
    <x:row r="458">
      <x:c r="K458" s="22"/>
    </x:row>
    <x:row r="459">
      <x:c r="K459" s="22"/>
    </x:row>
    <x:row r="460">
      <x:c r="K460" s="22"/>
    </x:row>
    <x:row r="461">
      <x:c r="K461" s="22"/>
    </x:row>
    <x:row r="462">
      <x:c r="K462" s="22"/>
    </x:row>
    <x:row r="463">
      <x:c r="K463" s="22"/>
    </x:row>
    <x:row r="464">
      <x:c r="K464" s="22"/>
    </x:row>
    <x:row r="465">
      <x:c r="K465" s="22"/>
    </x:row>
    <x:row r="466">
      <x:c r="K466" s="22"/>
    </x:row>
    <x:row r="467">
      <x:c r="K467" s="22"/>
    </x:row>
    <x:row r="468">
      <x:c r="K468" s="22"/>
    </x:row>
    <x:row r="469">
      <x:c r="K469" s="22"/>
    </x:row>
    <x:row r="470">
      <x:c r="K470" s="22"/>
    </x:row>
    <x:row r="471">
      <x:c r="K471" s="22"/>
    </x:row>
    <x:row r="472">
      <x:c r="K472" s="22"/>
    </x:row>
    <x:row r="473">
      <x:c r="K473" s="22"/>
    </x:row>
    <x:row r="474">
      <x:c r="K474" s="22"/>
    </x:row>
    <x:row r="475">
      <x:c r="K475" s="22"/>
    </x:row>
    <x:row r="476">
      <x:c r="K476" s="22"/>
    </x:row>
    <x:row r="477">
      <x:c r="K477" s="22"/>
    </x:row>
    <x:row r="478">
      <x:c r="K478" s="22"/>
    </x:row>
    <x:row r="479">
      <x:c r="K479" s="22"/>
    </x:row>
    <x:row r="480">
      <x:c r="K480" s="22"/>
    </x:row>
    <x:row r="481">
      <x:c r="K481" s="22"/>
    </x:row>
    <x:row r="482">
      <x:c r="K482" s="22"/>
    </x:row>
    <x:row r="483">
      <x:c r="K483" s="22"/>
    </x:row>
    <x:row r="484">
      <x:c r="K484" s="22"/>
    </x:row>
    <x:row r="485">
      <x:c r="K485" s="22"/>
    </x:row>
    <x:row r="486">
      <x:c r="K486" s="22"/>
    </x:row>
    <x:row r="487">
      <x:c r="K487" s="22"/>
    </x:row>
    <x:row r="488">
      <x:c r="K488" s="22"/>
    </x:row>
    <x:row r="489">
      <x:c r="K489" s="22"/>
    </x:row>
    <x:row r="490">
      <x:c r="K490" s="22"/>
    </x:row>
    <x:row r="491">
      <x:c r="K491" s="22"/>
    </x:row>
    <x:row r="492">
      <x:c r="K492" s="22"/>
    </x:row>
    <x:row r="493">
      <x:c r="K493" s="22"/>
    </x:row>
    <x:row r="494">
      <x:c r="K494" s="22"/>
    </x:row>
    <x:row r="495">
      <x:c r="K495" s="22"/>
    </x:row>
    <x:row r="496">
      <x:c r="K496" s="22"/>
    </x:row>
    <x:row r="497">
      <x:c r="K497" s="22"/>
    </x:row>
    <x:row r="498">
      <x:c r="K498" s="22"/>
    </x:row>
    <x:row r="499">
      <x:c r="K499" s="22"/>
    </x:row>
    <x:row r="500">
      <x:c r="K500" s="22"/>
    </x:row>
  </x:sheetData>
  <x:pageMargins left="0.7" right="0.7" top="0.75" bottom="0.75" header="0.3" footer="0.3"/>
  <x:tableParts count="1">
    <x:tablePart xmlns:r="http://schemas.openxmlformats.org/officeDocument/2006/relationships" r:id="Ra9ec1aa798f24e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24" hidden="0" customWidth="1"/>
    <x:col min="17" max="17" width="28" hidden="0" customWidth="1"/>
    <x:col min="18" max="18" width="18" hidden="0" customWidth="1"/>
    <x:col min="19" max="19" width="48" hidden="0" customWidth="1"/>
  </x:cols>
  <x:sheetData>
    <x:row r="1" ht="30" customHeight="1">
      <x:c r="A1" s="18" t="str">
        <x:v>Asset_ID</x:v>
      </x:c>
      <x:c r="B1" s="18" t="str">
        <x:v>Instrument_ID</x:v>
      </x:c>
      <x:c r="C1" s="18" t="str">
        <x:v>Debt_or_Lien_Type</x:v>
      </x:c>
      <x:c r="D1" s="18" t="str">
        <x:v>Original_Lender</x:v>
      </x:c>
      <x:c r="E1" s="18" t="str">
        <x:v>Current_Lender</x:v>
      </x:c>
      <x:c r="F1" s="18" t="str">
        <x:v>Servicer</x:v>
      </x:c>
      <x:c r="G1" s="18" t="str">
        <x:v>Special_Servicer</x:v>
      </x:c>
      <x:c r="H1" s="18" t="str">
        <x:v>Original_Balance_USD</x:v>
      </x:c>
      <x:c r="I1" s="18" t="str">
        <x:v>Current_Balance_USD</x:v>
      </x:c>
      <x:c r="J1" s="18" t="str">
        <x:v>Interest_Rate</x:v>
      </x:c>
      <x:c r="K1" s="18" t="str">
        <x:v>Maturity_Date</x:v>
      </x:c>
      <x:c r="L1" s="18" t="str">
        <x:v>LTV</x:v>
      </x:c>
      <x:c r="M1" s="18" t="str">
        <x:v>DSCR</x:v>
      </x:c>
      <x:c r="N1" s="18" t="str">
        <x:v>Priority</x:v>
      </x:c>
      <x:c r="O1" s="18" t="str">
        <x:v>Status</x:v>
      </x:c>
      <x:c r="P1" s="18" t="str">
        <x:v>Modification_or_Extension</x:v>
      </x:c>
      <x:c r="Q1" s="18" t="str">
        <x:v>Source_Record</x:v>
      </x:c>
      <x:c r="R1" s="18" t="str">
        <x:v>Evidence_State</x:v>
      </x:c>
      <x:c r="S1" s="18" t="str">
        <x:v>Notes</x:v>
      </x:c>
    </x:row>
    <x:row r="2">
      <x:c r="A2" t="str">
        <x:v>SHD-004</x:v>
      </x:c>
      <x:c r="B2" t="str">
        <x:v>DEBT-SHD004-001</x:v>
      </x:c>
      <x:c r="C2" t="str">
        <x:v>ACQUISITION_LOAN</x:v>
      </x:c>
      <x:c r="D2" t="str">
        <x:v>OakNorth Bank</x:v>
      </x:c>
      <x:c r="E2" t="str">
        <x:v>OakNorth Bank</x:v>
      </x:c>
      <x:c r="F2" t="str"/>
      <x:c r="G2" t="str"/>
      <x:c r="H2" s="22" t="n">
        <x:v>17500000</x:v>
      </x:c>
      <x:c r="I2" s="22"/>
      <x:c r="J2"/>
      <x:c r="K2"/>
      <x:c r="L2"/>
      <x:c r="M2"/>
      <x:c r="N2" t="str"/>
      <x:c r="O2" t="str">
        <x:v>REPORTED</x:v>
      </x:c>
      <x:c r="P2" t="str"/>
      <x:c r="Q2" t="str"/>
      <x:c r="R2" t="str">
        <x:v>SUBMITTED</x:v>
      </x:c>
      <x:c r="S2" t="str">
        <x:v>Reported $17.5M loan; verify recorded mortgage/deed of trust.</x:v>
      </x:c>
    </x:row>
    <x:row r="3">
      <x:c r="A3" t="str">
        <x:v>SHD-001</x:v>
      </x:c>
      <x:c r="B3" t="str"/>
      <x:c r="C3" t="str"/>
      <x:c r="D3" t="str"/>
      <x:c r="E3" t="str"/>
      <x:c r="F3" t="str"/>
      <x:c r="G3" t="str"/>
      <x:c r="H3" s="22" t="str"/>
      <x:c r="I3" s="22"/>
      <x:c r="J3"/>
      <x:c r="K3"/>
      <x:c r="L3"/>
      <x:c r="M3"/>
      <x:c r="N3" t="str"/>
      <x:c r="O3" t="str">
        <x:v>UNRESOLVED</x:v>
      </x:c>
      <x:c r="P3" t="str"/>
      <x:c r="Q3" t="str"/>
      <x:c r="R3" t="str">
        <x:v>UNRESOLVED</x:v>
      </x:c>
      <x:c r="S3" t="str">
        <x:v>Populate lender, lien, maturity, priority and modification history.</x:v>
      </x:c>
    </x:row>
    <x:row r="4">
      <x:c r="A4" t="str">
        <x:v>SHD-002</x:v>
      </x:c>
      <x:c r="B4" t="str"/>
      <x:c r="C4" t="str"/>
      <x:c r="D4" t="str"/>
      <x:c r="E4" t="str"/>
      <x:c r="F4" t="str"/>
      <x:c r="G4" t="str"/>
      <x:c r="H4" s="22" t="str"/>
      <x:c r="I4" s="22"/>
      <x:c r="J4"/>
      <x:c r="K4"/>
      <x:c r="L4"/>
      <x:c r="M4"/>
      <x:c r="N4" t="str"/>
      <x:c r="O4" t="str">
        <x:v>UNRESOLVED</x:v>
      </x:c>
      <x:c r="P4" t="str"/>
      <x:c r="Q4" t="str"/>
      <x:c r="R4" t="str">
        <x:v>UNRESOLVED</x:v>
      </x:c>
      <x:c r="S4" t="str">
        <x:v>Populate lender, lien, maturity, priority and modification history.</x:v>
      </x:c>
    </x:row>
    <x:row r="5">
      <x:c r="A5" t="str">
        <x:v>SHD-003</x:v>
      </x:c>
      <x:c r="B5" t="str"/>
      <x:c r="C5" t="str"/>
      <x:c r="D5" t="str"/>
      <x:c r="E5" t="str"/>
      <x:c r="F5" t="str"/>
      <x:c r="G5" t="str"/>
      <x:c r="H5" s="22" t="str"/>
      <x:c r="I5" s="22"/>
      <x:c r="J5"/>
      <x:c r="K5"/>
      <x:c r="L5"/>
      <x:c r="M5"/>
      <x:c r="N5" t="str"/>
      <x:c r="O5" t="str">
        <x:v>UNRESOLVED</x:v>
      </x:c>
      <x:c r="P5" t="str"/>
      <x:c r="Q5" t="str"/>
      <x:c r="R5" t="str">
        <x:v>UNRESOLVED</x:v>
      </x:c>
      <x:c r="S5" t="str">
        <x:v>Populate lender, lien, maturity, priority and modification history.</x:v>
      </x:c>
    </x:row>
    <x:row r="6">
      <x:c r="A6" t="str">
        <x:v>SHD-005</x:v>
      </x:c>
      <x:c r="B6" t="str"/>
      <x:c r="C6" t="str"/>
      <x:c r="D6" t="str"/>
      <x:c r="E6" t="str"/>
      <x:c r="F6" t="str"/>
      <x:c r="G6" t="str"/>
      <x:c r="H6" s="22" t="str"/>
      <x:c r="I6" s="22"/>
      <x:c r="J6"/>
      <x:c r="K6"/>
      <x:c r="L6"/>
      <x:c r="M6"/>
      <x:c r="N6" t="str"/>
      <x:c r="O6" t="str">
        <x:v>UNRESOLVED</x:v>
      </x:c>
      <x:c r="P6" t="str"/>
      <x:c r="Q6" t="str"/>
      <x:c r="R6" t="str">
        <x:v>UNRESOLVED</x:v>
      </x:c>
      <x:c r="S6" t="str">
        <x:v>Populate lender, lien, maturity, priority and modification history.</x:v>
      </x:c>
    </x:row>
    <x:row r="7">
      <x:c r="A7" t="str">
        <x:v>SHD-006</x:v>
      </x:c>
      <x:c r="B7" t="str"/>
      <x:c r="C7" t="str"/>
      <x:c r="D7" t="str"/>
      <x:c r="E7" t="str"/>
      <x:c r="F7" t="str"/>
      <x:c r="G7" t="str"/>
      <x:c r="H7" s="22" t="str"/>
      <x:c r="I7" s="22"/>
      <x:c r="J7"/>
      <x:c r="K7"/>
      <x:c r="L7"/>
      <x:c r="M7"/>
      <x:c r="N7" t="str"/>
      <x:c r="O7" t="str">
        <x:v>UNRESOLVED</x:v>
      </x:c>
      <x:c r="P7" t="str"/>
      <x:c r="Q7" t="str"/>
      <x:c r="R7" t="str">
        <x:v>UNRESOLVED</x:v>
      </x:c>
      <x:c r="S7" t="str">
        <x:v>Populate lender, lien, maturity, priority and modification history.</x:v>
      </x:c>
    </x:row>
    <x:row r="8">
      <x:c r="A8" t="str">
        <x:v>SHD-007</x:v>
      </x:c>
      <x:c r="B8" t="str"/>
      <x:c r="C8" t="str"/>
      <x:c r="D8" t="str"/>
      <x:c r="E8" t="str"/>
      <x:c r="F8" t="str"/>
      <x:c r="G8" t="str"/>
      <x:c r="H8" s="22" t="str"/>
      <x:c r="I8" s="22"/>
      <x:c r="J8"/>
      <x:c r="K8"/>
      <x:c r="L8"/>
      <x:c r="M8"/>
      <x:c r="N8" t="str"/>
      <x:c r="O8" t="str">
        <x:v>UNRESOLVED</x:v>
      </x:c>
      <x:c r="P8" t="str"/>
      <x:c r="Q8" t="str"/>
      <x:c r="R8" t="str">
        <x:v>UNRESOLVED</x:v>
      </x:c>
      <x:c r="S8" t="str">
        <x:v>Populate lender, lien, maturity, priority and modification history.</x:v>
      </x:c>
    </x:row>
    <x:row r="9">
      <x:c r="A9" t="str">
        <x:v>SHD-008</x:v>
      </x:c>
      <x:c r="B9" t="str"/>
      <x:c r="C9" t="str"/>
      <x:c r="D9" t="str"/>
      <x:c r="E9" t="str"/>
      <x:c r="F9" t="str"/>
      <x:c r="G9" t="str"/>
      <x:c r="H9" s="22" t="str"/>
      <x:c r="I9" s="22"/>
      <x:c r="J9"/>
      <x:c r="K9"/>
      <x:c r="L9"/>
      <x:c r="M9"/>
      <x:c r="N9" t="str"/>
      <x:c r="O9" t="str">
        <x:v>UNRESOLVED</x:v>
      </x:c>
      <x:c r="P9" t="str"/>
      <x:c r="Q9" t="str"/>
      <x:c r="R9" t="str">
        <x:v>UNRESOLVED</x:v>
      </x:c>
      <x:c r="S9" t="str">
        <x:v>Populate lender, lien, maturity, priority and modification history.</x:v>
      </x:c>
    </x:row>
    <x:row r="10">
      <x:c r="A10" t="str">
        <x:v>SHD-009</x:v>
      </x:c>
      <x:c r="B10" t="str"/>
      <x:c r="C10" t="str"/>
      <x:c r="D10" t="str"/>
      <x:c r="E10" t="str"/>
      <x:c r="F10" t="str"/>
      <x:c r="G10" t="str"/>
      <x:c r="H10" s="22" t="str"/>
      <x:c r="I10" s="22"/>
      <x:c r="J10"/>
      <x:c r="K10"/>
      <x:c r="L10"/>
      <x:c r="M10"/>
      <x:c r="N10" t="str"/>
      <x:c r="O10" t="str">
        <x:v>UNRESOLVED</x:v>
      </x:c>
      <x:c r="P10" t="str"/>
      <x:c r="Q10" t="str"/>
      <x:c r="R10" t="str">
        <x:v>UNRESOLVED</x:v>
      </x:c>
      <x:c r="S10" t="str">
        <x:v>Populate lender, lien, maturity, priority and modification history.</x:v>
      </x:c>
    </x:row>
    <x:row r="11">
      <x:c r="A11" t="str">
        <x:v>SHD-010</x:v>
      </x:c>
      <x:c r="B11" t="str"/>
      <x:c r="C11" t="str"/>
      <x:c r="D11" t="str"/>
      <x:c r="E11" t="str"/>
      <x:c r="F11" t="str"/>
      <x:c r="G11" t="str"/>
      <x:c r="H11" s="22" t="str"/>
      <x:c r="I11" s="22"/>
      <x:c r="J11"/>
      <x:c r="K11"/>
      <x:c r="L11"/>
      <x:c r="M11"/>
      <x:c r="N11" t="str"/>
      <x:c r="O11" t="str">
        <x:v>UNRESOLVED</x:v>
      </x:c>
      <x:c r="P11" t="str"/>
      <x:c r="Q11" t="str"/>
      <x:c r="R11" t="str">
        <x:v>UNRESOLVED</x:v>
      </x:c>
      <x:c r="S11" t="str">
        <x:v>Populate lender, lien, maturity, priority and modification history.</x:v>
      </x:c>
    </x:row>
    <x:row r="12">
      <x:c r="A12" t="str">
        <x:v>SHD-011</x:v>
      </x:c>
      <x:c r="B12" t="str"/>
      <x:c r="C12" t="str"/>
      <x:c r="D12" t="str"/>
      <x:c r="E12" t="str"/>
      <x:c r="F12" t="str"/>
      <x:c r="G12" t="str"/>
      <x:c r="H12" s="22" t="str"/>
      <x:c r="I12" s="22"/>
      <x:c r="J12"/>
      <x:c r="K12"/>
      <x:c r="L12"/>
      <x:c r="M12"/>
      <x:c r="N12" t="str"/>
      <x:c r="O12" t="str">
        <x:v>UNRESOLVED</x:v>
      </x:c>
      <x:c r="P12" t="str"/>
      <x:c r="Q12" t="str"/>
      <x:c r="R12" t="str">
        <x:v>UNRESOLVED</x:v>
      </x:c>
      <x:c r="S12" t="str">
        <x:v>Populate lender, lien, maturity, priority and modification history.</x:v>
      </x:c>
    </x:row>
    <x:row r="13">
      <x:c r="A13" t="str">
        <x:v>SHD-012</x:v>
      </x:c>
      <x:c r="B13" t="str"/>
      <x:c r="C13" t="str"/>
      <x:c r="D13" t="str"/>
      <x:c r="E13" t="str"/>
      <x:c r="F13" t="str"/>
      <x:c r="G13" t="str"/>
      <x:c r="H13" s="22" t="str"/>
      <x:c r="I13" s="22"/>
      <x:c r="J13"/>
      <x:c r="K13"/>
      <x:c r="L13"/>
      <x:c r="M13"/>
      <x:c r="N13" t="str"/>
      <x:c r="O13" t="str">
        <x:v>UNRESOLVED</x:v>
      </x:c>
      <x:c r="P13" t="str"/>
      <x:c r="Q13" t="str"/>
      <x:c r="R13" t="str">
        <x:v>UNRESOLVED</x:v>
      </x:c>
      <x:c r="S13" t="str">
        <x:v>Populate lender, lien, maturity, priority and modification history.</x:v>
      </x:c>
    </x:row>
    <x:row r="14">
      <x:c r="A14" t="str">
        <x:v>SHD-013</x:v>
      </x:c>
      <x:c r="B14" t="str"/>
      <x:c r="C14" t="str"/>
      <x:c r="D14" t="str"/>
      <x:c r="E14" t="str"/>
      <x:c r="F14" t="str"/>
      <x:c r="G14" t="str"/>
      <x:c r="H14" s="22" t="str"/>
      <x:c r="I14" s="22"/>
      <x:c r="J14"/>
      <x:c r="K14"/>
      <x:c r="L14"/>
      <x:c r="M14"/>
      <x:c r="N14" t="str"/>
      <x:c r="O14" t="str">
        <x:v>UNRESOLVED</x:v>
      </x:c>
      <x:c r="P14" t="str"/>
      <x:c r="Q14" t="str"/>
      <x:c r="R14" t="str">
        <x:v>UNRESOLVED</x:v>
      </x:c>
      <x:c r="S14" t="str">
        <x:v>Populate lender, lien, maturity, priority and modification history.</x:v>
      </x:c>
    </x:row>
    <x:row r="15">
      <x:c r="A15" t="str">
        <x:v>SHD-014</x:v>
      </x:c>
      <x:c r="B15" t="str"/>
      <x:c r="C15" t="str"/>
      <x:c r="D15" t="str"/>
      <x:c r="E15" t="str"/>
      <x:c r="F15" t="str"/>
      <x:c r="G15" t="str"/>
      <x:c r="H15" s="22" t="str"/>
      <x:c r="I15" s="22"/>
      <x:c r="J15"/>
      <x:c r="K15"/>
      <x:c r="L15"/>
      <x:c r="M15"/>
      <x:c r="N15" t="str"/>
      <x:c r="O15" t="str">
        <x:v>UNRESOLVED</x:v>
      </x:c>
      <x:c r="P15" t="str"/>
      <x:c r="Q15" t="str"/>
      <x:c r="R15" t="str">
        <x:v>UNRESOLVED</x:v>
      </x:c>
      <x:c r="S15" t="str">
        <x:v>Populate lender, lien, maturity, priority and modification history.</x:v>
      </x:c>
    </x:row>
    <x:row r="16">
      <x:c r="A16" t="str">
        <x:v>SHD-015</x:v>
      </x:c>
      <x:c r="B16" t="str"/>
      <x:c r="C16" t="str"/>
      <x:c r="D16" t="str"/>
      <x:c r="E16" t="str"/>
      <x:c r="F16" t="str"/>
      <x:c r="G16" t="str"/>
      <x:c r="H16" s="22" t="str"/>
      <x:c r="I16" s="22"/>
      <x:c r="J16"/>
      <x:c r="K16"/>
      <x:c r="L16"/>
      <x:c r="M16"/>
      <x:c r="N16" t="str"/>
      <x:c r="O16" t="str">
        <x:v>UNRESOLVED</x:v>
      </x:c>
      <x:c r="P16" t="str"/>
      <x:c r="Q16" t="str"/>
      <x:c r="R16" t="str">
        <x:v>UNRESOLVED</x:v>
      </x:c>
      <x:c r="S16" t="str">
        <x:v>Populate lender, lien, maturity, priority and modification history.</x:v>
      </x:c>
    </x:row>
    <x:row r="17">
      <x:c r="A17" t="str">
        <x:v>SHD-016</x:v>
      </x:c>
      <x:c r="B17" t="str"/>
      <x:c r="C17" t="str"/>
      <x:c r="D17" t="str"/>
      <x:c r="E17" t="str"/>
      <x:c r="F17" t="str"/>
      <x:c r="G17" t="str"/>
      <x:c r="H17" s="22" t="str"/>
      <x:c r="I17" s="22"/>
      <x:c r="J17"/>
      <x:c r="K17"/>
      <x:c r="L17"/>
      <x:c r="M17"/>
      <x:c r="N17" t="str"/>
      <x:c r="O17" t="str">
        <x:v>UNRESOLVED</x:v>
      </x:c>
      <x:c r="P17" t="str"/>
      <x:c r="Q17" t="str"/>
      <x:c r="R17" t="str">
        <x:v>UNRESOLVED</x:v>
      </x:c>
      <x:c r="S17" t="str">
        <x:v>Populate lender, lien, maturity, priority and modification history.</x:v>
      </x:c>
    </x:row>
    <x:row r="18">
      <x:c r="A18" t="str">
        <x:v>SHD-017</x:v>
      </x:c>
      <x:c r="B18" t="str"/>
      <x:c r="C18" t="str"/>
      <x:c r="D18" t="str"/>
      <x:c r="E18" t="str"/>
      <x:c r="F18" t="str"/>
      <x:c r="G18" t="str"/>
      <x:c r="H18" s="22" t="str"/>
      <x:c r="I18" s="22"/>
      <x:c r="J18"/>
      <x:c r="K18"/>
      <x:c r="L18"/>
      <x:c r="M18"/>
      <x:c r="N18" t="str"/>
      <x:c r="O18" t="str">
        <x:v>UNRESOLVED</x:v>
      </x:c>
      <x:c r="P18" t="str"/>
      <x:c r="Q18" t="str"/>
      <x:c r="R18" t="str">
        <x:v>UNRESOLVED</x:v>
      </x:c>
      <x:c r="S18" t="str">
        <x:v>Populate lender, lien, maturity, priority and modification history.</x:v>
      </x:c>
    </x:row>
    <x:row r="19">
      <x:c r="A19" t="str">
        <x:v>SHD-018</x:v>
      </x:c>
      <x:c r="B19" t="str"/>
      <x:c r="C19" t="str"/>
      <x:c r="D19" t="str"/>
      <x:c r="E19" t="str"/>
      <x:c r="F19" t="str"/>
      <x:c r="G19" t="str"/>
      <x:c r="H19" s="22" t="str"/>
      <x:c r="I19" s="22"/>
      <x:c r="J19"/>
      <x:c r="K19"/>
      <x:c r="L19"/>
      <x:c r="M19"/>
      <x:c r="N19" t="str"/>
      <x:c r="O19" t="str">
        <x:v>UNRESOLVED</x:v>
      </x:c>
      <x:c r="P19" t="str"/>
      <x:c r="Q19" t="str"/>
      <x:c r="R19" t="str">
        <x:v>UNRESOLVED</x:v>
      </x:c>
      <x:c r="S19" t="str">
        <x:v>Populate lender, lien, maturity, priority and modification history.</x:v>
      </x:c>
    </x:row>
    <x:row r="20">
      <x:c r="A20" t="str">
        <x:v>SHD-019</x:v>
      </x:c>
      <x:c r="B20" t="str"/>
      <x:c r="C20" t="str"/>
      <x:c r="D20" t="str"/>
      <x:c r="E20" t="str"/>
      <x:c r="F20" t="str"/>
      <x:c r="G20" t="str"/>
      <x:c r="H20" s="22" t="str"/>
      <x:c r="I20" s="22"/>
      <x:c r="J20"/>
      <x:c r="K20"/>
      <x:c r="L20"/>
      <x:c r="M20"/>
      <x:c r="N20" t="str"/>
      <x:c r="O20" t="str">
        <x:v>UNRESOLVED</x:v>
      </x:c>
      <x:c r="P20" t="str"/>
      <x:c r="Q20" t="str"/>
      <x:c r="R20" t="str">
        <x:v>UNRESOLVED</x:v>
      </x:c>
      <x:c r="S20" t="str">
        <x:v>Populate lender, lien, maturity, priority and modification history.</x:v>
      </x:c>
    </x:row>
    <x:row r="21">
      <x:c r="A21" t="str">
        <x:v>SHD-020</x:v>
      </x:c>
      <x:c r="B21" t="str"/>
      <x:c r="C21" t="str"/>
      <x:c r="D21" t="str"/>
      <x:c r="E21" t="str"/>
      <x:c r="F21" t="str"/>
      <x:c r="G21" t="str"/>
      <x:c r="H21" s="22" t="str"/>
      <x:c r="I21" s="22"/>
      <x:c r="J21"/>
      <x:c r="K21"/>
      <x:c r="L21"/>
      <x:c r="M21"/>
      <x:c r="N21" t="str"/>
      <x:c r="O21" t="str">
        <x:v>UNRESOLVED</x:v>
      </x:c>
      <x:c r="P21" t="str"/>
      <x:c r="Q21" t="str"/>
      <x:c r="R21" t="str">
        <x:v>UNRESOLVED</x:v>
      </x:c>
      <x:c r="S21" t="str">
        <x:v>Populate lender, lien, maturity, priority and modification history.</x:v>
      </x:c>
    </x:row>
    <x:row r="22">
      <x:c r="A22" t="str">
        <x:v>SHD-021</x:v>
      </x:c>
      <x:c r="B22" t="str"/>
      <x:c r="C22" t="str"/>
      <x:c r="D22" t="str"/>
      <x:c r="E22" t="str"/>
      <x:c r="F22" t="str"/>
      <x:c r="G22" t="str"/>
      <x:c r="H22" s="22" t="str"/>
      <x:c r="I22" s="22"/>
      <x:c r="J22"/>
      <x:c r="K22"/>
      <x:c r="L22"/>
      <x:c r="M22"/>
      <x:c r="N22" t="str"/>
      <x:c r="O22" t="str">
        <x:v>UNRESOLVED</x:v>
      </x:c>
      <x:c r="P22" t="str"/>
      <x:c r="Q22" t="str"/>
      <x:c r="R22" t="str">
        <x:v>UNRESOLVED</x:v>
      </x:c>
      <x:c r="S22" t="str">
        <x:v>Populate lender, lien, maturity, priority and modification history.</x:v>
      </x:c>
    </x:row>
    <x:row r="23">
      <x:c r="A23" t="str">
        <x:v>SHD-022</x:v>
      </x:c>
      <x:c r="B23" t="str"/>
      <x:c r="C23" t="str"/>
      <x:c r="D23" t="str"/>
      <x:c r="E23" t="str"/>
      <x:c r="F23" t="str"/>
      <x:c r="G23" t="str"/>
      <x:c r="H23" s="22" t="str"/>
      <x:c r="I23" s="22"/>
      <x:c r="J23"/>
      <x:c r="K23"/>
      <x:c r="L23"/>
      <x:c r="M23"/>
      <x:c r="N23" t="str"/>
      <x:c r="O23" t="str">
        <x:v>UNRESOLVED</x:v>
      </x:c>
      <x:c r="P23" t="str"/>
      <x:c r="Q23" t="str"/>
      <x:c r="R23" t="str">
        <x:v>UNRESOLVED</x:v>
      </x:c>
      <x:c r="S23" t="str">
        <x:v>Populate lender, lien, maturity, priority and modification history.</x:v>
      </x:c>
    </x:row>
    <x:row r="24">
      <x:c r="A24" t="str">
        <x:v>SHD-023</x:v>
      </x:c>
      <x:c r="B24" t="str"/>
      <x:c r="C24" t="str"/>
      <x:c r="D24" t="str"/>
      <x:c r="E24" t="str"/>
      <x:c r="F24" t="str"/>
      <x:c r="G24" t="str"/>
      <x:c r="H24" s="22" t="str"/>
      <x:c r="I24" s="22"/>
      <x:c r="J24"/>
      <x:c r="K24"/>
      <x:c r="L24"/>
      <x:c r="M24"/>
      <x:c r="N24" t="str"/>
      <x:c r="O24" t="str">
        <x:v>UNRESOLVED</x:v>
      </x:c>
      <x:c r="P24" t="str"/>
      <x:c r="Q24" t="str"/>
      <x:c r="R24" t="str">
        <x:v>UNRESOLVED</x:v>
      </x:c>
      <x:c r="S24" t="str">
        <x:v>Populate lender, lien, maturity, priority and modification history.</x:v>
      </x:c>
    </x:row>
    <x:row r="25">
      <x:c r="A25" t="str">
        <x:v>SHD-024</x:v>
      </x:c>
      <x:c r="B25" t="str"/>
      <x:c r="C25" t="str"/>
      <x:c r="D25" t="str"/>
      <x:c r="E25" t="str"/>
      <x:c r="F25" t="str"/>
      <x:c r="G25" t="str"/>
      <x:c r="H25" s="22" t="str"/>
      <x:c r="I25" s="22"/>
      <x:c r="J25"/>
      <x:c r="K25"/>
      <x:c r="L25"/>
      <x:c r="M25"/>
      <x:c r="N25" t="str"/>
      <x:c r="O25" t="str">
        <x:v>UNRESOLVED</x:v>
      </x:c>
      <x:c r="P25" t="str"/>
      <x:c r="Q25" t="str"/>
      <x:c r="R25" t="str">
        <x:v>UNRESOLVED</x:v>
      </x:c>
      <x:c r="S25" t="str">
        <x:v>Populate lender, lien, maturity, priority and modification history.</x:v>
      </x:c>
    </x:row>
    <x:row r="26">
      <x:c r="A26" t="str">
        <x:v>SHD-025</x:v>
      </x:c>
      <x:c r="B26" t="str"/>
      <x:c r="C26" t="str"/>
      <x:c r="D26" t="str"/>
      <x:c r="E26" t="str"/>
      <x:c r="F26" t="str"/>
      <x:c r="G26" t="str"/>
      <x:c r="H26" s="22" t="str"/>
      <x:c r="I26" s="22"/>
      <x:c r="J26"/>
      <x:c r="K26"/>
      <x:c r="L26"/>
      <x:c r="M26"/>
      <x:c r="N26" t="str"/>
      <x:c r="O26" t="str">
        <x:v>UNRESOLVED</x:v>
      </x:c>
      <x:c r="P26" t="str"/>
      <x:c r="Q26" t="str"/>
      <x:c r="R26" t="str">
        <x:v>UNRESOLVED</x:v>
      </x:c>
      <x:c r="S26" t="str">
        <x:v>Populate lender, lien, maturity, priority and modification history.</x:v>
      </x:c>
    </x:row>
    <x:row r="27">
      <x:c r="A27" t="str">
        <x:v>SHD-026</x:v>
      </x:c>
      <x:c r="B27" t="str"/>
      <x:c r="C27" t="str"/>
      <x:c r="D27" t="str"/>
      <x:c r="E27" t="str"/>
      <x:c r="F27" t="str"/>
      <x:c r="G27" t="str"/>
      <x:c r="H27" s="22" t="str"/>
      <x:c r="I27" s="22"/>
      <x:c r="J27"/>
      <x:c r="K27"/>
      <x:c r="L27"/>
      <x:c r="M27"/>
      <x:c r="N27" t="str"/>
      <x:c r="O27" t="str">
        <x:v>UNRESOLVED</x:v>
      </x:c>
      <x:c r="P27" t="str"/>
      <x:c r="Q27" t="str"/>
      <x:c r="R27" t="str">
        <x:v>UNRESOLVED</x:v>
      </x:c>
      <x:c r="S27" t="str">
        <x:v>Populate lender, lien, maturity, priority and modification history.</x:v>
      </x:c>
    </x:row>
    <x:row r="28">
      <x:c r="A28" t="str">
        <x:v>SHD-027</x:v>
      </x:c>
      <x:c r="B28" t="str"/>
      <x:c r="C28" t="str"/>
      <x:c r="D28" t="str"/>
      <x:c r="E28" t="str"/>
      <x:c r="F28" t="str"/>
      <x:c r="G28" t="str"/>
      <x:c r="H28" s="22" t="str"/>
      <x:c r="I28" s="22"/>
      <x:c r="J28"/>
      <x:c r="K28"/>
      <x:c r="L28"/>
      <x:c r="M28"/>
      <x:c r="N28" t="str"/>
      <x:c r="O28" t="str">
        <x:v>UNRESOLVED</x:v>
      </x:c>
      <x:c r="P28" t="str"/>
      <x:c r="Q28" t="str"/>
      <x:c r="R28" t="str">
        <x:v>UNRESOLVED</x:v>
      </x:c>
      <x:c r="S28" t="str">
        <x:v>Populate lender, lien, maturity, priority and modification history.</x:v>
      </x:c>
    </x:row>
    <x:row r="29">
      <x:c r="A29" t="str">
        <x:v>SHD-028</x:v>
      </x:c>
      <x:c r="B29" t="str"/>
      <x:c r="C29" t="str"/>
      <x:c r="D29" t="str"/>
      <x:c r="E29" t="str"/>
      <x:c r="F29" t="str"/>
      <x:c r="G29" t="str"/>
      <x:c r="H29" s="22" t="str"/>
      <x:c r="I29" s="22"/>
      <x:c r="J29"/>
      <x:c r="K29"/>
      <x:c r="L29"/>
      <x:c r="M29"/>
      <x:c r="N29" t="str"/>
      <x:c r="O29" t="str">
        <x:v>UNRESOLVED</x:v>
      </x:c>
      <x:c r="P29" t="str"/>
      <x:c r="Q29" t="str"/>
      <x:c r="R29" t="str">
        <x:v>UNRESOLVED</x:v>
      </x:c>
      <x:c r="S29" t="str">
        <x:v>Populate lender, lien, maturity, priority and modification history.</x:v>
      </x:c>
    </x:row>
    <x:row r="30">
      <x:c r="A30" t="str">
        <x:v>SHD-029</x:v>
      </x:c>
      <x:c r="B30" t="str"/>
      <x:c r="C30" t="str"/>
      <x:c r="D30" t="str"/>
      <x:c r="E30" t="str"/>
      <x:c r="F30" t="str"/>
      <x:c r="G30" t="str"/>
      <x:c r="H30" s="22" t="str"/>
      <x:c r="I30" s="22"/>
      <x:c r="J30"/>
      <x:c r="K30"/>
      <x:c r="L30"/>
      <x:c r="M30"/>
      <x:c r="N30" t="str"/>
      <x:c r="O30" t="str">
        <x:v>UNRESOLVED</x:v>
      </x:c>
      <x:c r="P30" t="str"/>
      <x:c r="Q30" t="str"/>
      <x:c r="R30" t="str">
        <x:v>UNRESOLVED</x:v>
      </x:c>
      <x:c r="S30" t="str">
        <x:v>Populate lender, lien, maturity, priority and modification history.</x:v>
      </x:c>
    </x:row>
    <x:row r="31">
      <x:c r="A31" t="str">
        <x:v>SHD-030</x:v>
      </x:c>
      <x:c r="B31" t="str"/>
      <x:c r="C31" t="str"/>
      <x:c r="D31" t="str"/>
      <x:c r="E31" t="str"/>
      <x:c r="F31" t="str"/>
      <x:c r="G31" t="str"/>
      <x:c r="H31" s="22" t="str"/>
      <x:c r="I31" s="22"/>
      <x:c r="J31"/>
      <x:c r="K31"/>
      <x:c r="L31"/>
      <x:c r="M31"/>
      <x:c r="N31" t="str"/>
      <x:c r="O31" t="str">
        <x:v>UNRESOLVED</x:v>
      </x:c>
      <x:c r="P31" t="str"/>
      <x:c r="Q31" t="str"/>
      <x:c r="R31" t="str">
        <x:v>UNRESOLVED</x:v>
      </x:c>
      <x:c r="S31" t="str">
        <x:v>Populate lender, lien, maturity, priority and modification history.</x:v>
      </x:c>
    </x:row>
    <x:row r="32">
      <x:c r="A32" t="str">
        <x:v>SHD-031</x:v>
      </x:c>
      <x:c r="B32" t="str"/>
      <x:c r="C32" t="str"/>
      <x:c r="D32" t="str"/>
      <x:c r="E32" t="str"/>
      <x:c r="F32" t="str"/>
      <x:c r="G32" t="str"/>
      <x:c r="H32" s="22" t="str"/>
      <x:c r="I32" s="22"/>
      <x:c r="J32"/>
      <x:c r="K32"/>
      <x:c r="L32"/>
      <x:c r="M32"/>
      <x:c r="N32" t="str"/>
      <x:c r="O32" t="str">
        <x:v>UNRESOLVED</x:v>
      </x:c>
      <x:c r="P32" t="str"/>
      <x:c r="Q32" t="str"/>
      <x:c r="R32" t="str">
        <x:v>UNRESOLVED</x:v>
      </x:c>
      <x:c r="S32" t="str">
        <x:v>Populate lender, lien, maturity, priority and modification history.</x:v>
      </x:c>
    </x:row>
    <x:row r="33">
      <x:c r="A33" t="str">
        <x:v>SHD-032</x:v>
      </x:c>
      <x:c r="B33" t="str"/>
      <x:c r="C33" t="str"/>
      <x:c r="D33" t="str"/>
      <x:c r="E33" t="str"/>
      <x:c r="F33" t="str"/>
      <x:c r="G33" t="str"/>
      <x:c r="H33" s="22" t="str"/>
      <x:c r="I33" s="22"/>
      <x:c r="J33"/>
      <x:c r="K33"/>
      <x:c r="L33"/>
      <x:c r="M33"/>
      <x:c r="N33" t="str"/>
      <x:c r="O33" t="str">
        <x:v>UNRESOLVED</x:v>
      </x:c>
      <x:c r="P33" t="str"/>
      <x:c r="Q33" t="str"/>
      <x:c r="R33" t="str">
        <x:v>UNRESOLVED</x:v>
      </x:c>
      <x:c r="S33" t="str">
        <x:v>Populate lender, lien, maturity, priority and modification history.</x:v>
      </x:c>
    </x:row>
    <x:row r="34">
      <x:c r="A34" t="str">
        <x:v>SHD-033</x:v>
      </x:c>
      <x:c r="B34" t="str"/>
      <x:c r="C34" t="str"/>
      <x:c r="D34" t="str"/>
      <x:c r="E34" t="str"/>
      <x:c r="F34" t="str"/>
      <x:c r="G34" t="str"/>
      <x:c r="H34" s="22" t="str"/>
      <x:c r="I34" s="22"/>
      <x:c r="J34"/>
      <x:c r="K34"/>
      <x:c r="L34"/>
      <x:c r="M34"/>
      <x:c r="N34" t="str"/>
      <x:c r="O34" t="str">
        <x:v>UNRESOLVED</x:v>
      </x:c>
      <x:c r="P34" t="str"/>
      <x:c r="Q34" t="str"/>
      <x:c r="R34" t="str">
        <x:v>UNRESOLVED</x:v>
      </x:c>
      <x:c r="S34" t="str">
        <x:v>Populate lender, lien, maturity, priority and modification history.</x:v>
      </x:c>
    </x:row>
    <x:row r="35">
      <x:c r="A35" t="str">
        <x:v>SHD-034</x:v>
      </x:c>
      <x:c r="B35" t="str"/>
      <x:c r="C35" t="str"/>
      <x:c r="D35" t="str"/>
      <x:c r="E35" t="str"/>
      <x:c r="F35" t="str"/>
      <x:c r="G35" t="str"/>
      <x:c r="H35" s="22" t="str"/>
      <x:c r="I35" s="22"/>
      <x:c r="J35"/>
      <x:c r="K35"/>
      <x:c r="L35"/>
      <x:c r="M35"/>
      <x:c r="N35" t="str"/>
      <x:c r="O35" t="str">
        <x:v>UNRESOLVED</x:v>
      </x:c>
      <x:c r="P35" t="str"/>
      <x:c r="Q35" t="str"/>
      <x:c r="R35" t="str">
        <x:v>UNRESOLVED</x:v>
      </x:c>
      <x:c r="S35" t="str">
        <x:v>Populate lender, lien, maturity, priority and modification history.</x:v>
      </x:c>
    </x:row>
    <x:row r="36">
      <x:c r="A36" t="str">
        <x:v>SHD-035</x:v>
      </x:c>
      <x:c r="B36" t="str"/>
      <x:c r="C36" t="str"/>
      <x:c r="D36" t="str"/>
      <x:c r="E36" t="str"/>
      <x:c r="F36" t="str"/>
      <x:c r="G36" t="str"/>
      <x:c r="H36" s="22" t="str"/>
      <x:c r="I36" s="22"/>
      <x:c r="J36"/>
      <x:c r="K36"/>
      <x:c r="L36"/>
      <x:c r="M36"/>
      <x:c r="N36" t="str"/>
      <x:c r="O36" t="str">
        <x:v>UNRESOLVED</x:v>
      </x:c>
      <x:c r="P36" t="str"/>
      <x:c r="Q36" t="str"/>
      <x:c r="R36" t="str">
        <x:v>UNRESOLVED</x:v>
      </x:c>
      <x:c r="S36" t="str">
        <x:v>Populate lender, lien, maturity, priority and modification history.</x:v>
      </x:c>
    </x:row>
    <x:row r="37">
      <x:c r="A37" t="str">
        <x:v>SHD-036</x:v>
      </x:c>
      <x:c r="B37" t="str"/>
      <x:c r="C37" t="str"/>
      <x:c r="D37" t="str"/>
      <x:c r="E37" t="str"/>
      <x:c r="F37" t="str"/>
      <x:c r="G37" t="str"/>
      <x:c r="H37" s="22" t="str"/>
      <x:c r="I37" s="22"/>
      <x:c r="J37"/>
      <x:c r="K37"/>
      <x:c r="L37"/>
      <x:c r="M37"/>
      <x:c r="N37" t="str"/>
      <x:c r="O37" t="str">
        <x:v>UNRESOLVED</x:v>
      </x:c>
      <x:c r="P37" t="str"/>
      <x:c r="Q37" t="str"/>
      <x:c r="R37" t="str">
        <x:v>UNRESOLVED</x:v>
      </x:c>
      <x:c r="S37" t="str">
        <x:v>Populate lender, lien, maturity, priority and modification history.</x:v>
      </x:c>
    </x:row>
  </x:sheetData>
  <x:pageMargins left="0.7" right="0.7" top="0.75" bottom="0.75" header="0.3" footer="0.3"/>
  <x:tableParts count="1">
    <x:tablePart xmlns:r="http://schemas.openxmlformats.org/officeDocument/2006/relationships" r:id="Ref6fe428dc824e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20" hidden="0" customWidth="1"/>
    <x:col min="11" max="11" width="12" hidden="0" customWidth="1"/>
    <x:col min="12" max="12" width="16" hidden="0" customWidth="1"/>
    <x:col min="13" max="13" width="58" hidden="0" customWidth="1"/>
  </x:cols>
  <x:sheetData>
    <x:row r="1" ht="30" customHeight="1">
      <x:c r="A1" s="18" t="str">
        <x:v>Asset_ID</x:v>
      </x:c>
      <x:c r="B1" s="18" t="str">
        <x:v>TSI_0_100</x:v>
      </x:c>
      <x:c r="C1" s="18" t="str">
        <x:v>ASI_0_100</x:v>
      </x:c>
      <x:c r="D1" s="18" t="str">
        <x:v>DPI_0_100</x:v>
      </x:c>
      <x:c r="E1" s="18" t="str">
        <x:v>OOI_0_100</x:v>
      </x:c>
      <x:c r="F1" s="18" t="str">
        <x:v>CCI_Context</x:v>
      </x:c>
      <x:c r="G1" s="18" t="str">
        <x:v>PVMI_0_100</x:v>
      </x:c>
      <x:c r="H1" s="18" t="str">
        <x:v>PBOI_0_100</x:v>
      </x:c>
      <x:c r="I1" s="18" t="str">
        <x:v>Score_Date</x:v>
      </x:c>
      <x:c r="J1" s="18" t="str">
        <x:v>Formula_Version</x:v>
      </x:c>
      <x:c r="K1" s="18" t="str">
        <x:v>Confidence</x:v>
      </x:c>
      <x:c r="L1" s="18" t="str">
        <x:v>Score_Status</x:v>
      </x:c>
      <x:c r="M1" s="18" t="str">
        <x:v>Notes</x:v>
      </x:c>
    </x:row>
    <x:row r="2">
      <x:c r="A2" t="str">
        <x:v>SHD-001</x:v>
      </x:c>
      <x:c r="B2"/>
      <x:c r="C2"/>
      <x:c r="D2"/>
      <x:c r="E2" t="n">
        <x:v>35</x:v>
      </x:c>
      <x:c r="F2" t="str"/>
      <x:c r="G2"/>
      <x:c r="H2"/>
      <x:c r="I2"/>
      <x:c r="J2" t="str">
        <x:v>v0.1-provisional</x:v>
      </x:c>
      <x:c r="K2" t="str">
        <x:v>C</x:v>
      </x:c>
      <x:c r="L2" t="str">
        <x:v>NOT SCORED</x:v>
      </x:c>
      <x:c r="M2" t="str">
        <x:v>OOI starter value reflects ownership-resolution state only; replace with full formula before public scoring.</x:v>
      </x:c>
    </x:row>
    <x:row r="3">
      <x:c r="A3" t="str">
        <x:v>SHD-002</x:v>
      </x:c>
      <x:c r="B3"/>
      <x:c r="C3"/>
      <x:c r="D3"/>
      <x:c r="E3" t="n">
        <x:v>35</x:v>
      </x:c>
      <x:c r="F3" t="str"/>
      <x:c r="G3"/>
      <x:c r="H3"/>
      <x:c r="I3"/>
      <x:c r="J3" t="str">
        <x:v>v0.1-provisional</x:v>
      </x:c>
      <x:c r="K3" t="str">
        <x:v>C</x:v>
      </x:c>
      <x:c r="L3" t="str">
        <x:v>NOT SCORED</x:v>
      </x:c>
      <x:c r="M3" t="str">
        <x:v>OOI starter value reflects ownership-resolution state only; replace with full formula before public scoring.</x:v>
      </x:c>
    </x:row>
    <x:row r="4">
      <x:c r="A4" t="str">
        <x:v>SHD-003</x:v>
      </x:c>
      <x:c r="B4"/>
      <x:c r="C4"/>
      <x:c r="D4"/>
      <x:c r="E4" t="n">
        <x:v>35</x:v>
      </x:c>
      <x:c r="F4" t="str"/>
      <x:c r="G4"/>
      <x:c r="H4"/>
      <x:c r="I4"/>
      <x:c r="J4" t="str">
        <x:v>v0.1-provisional</x:v>
      </x:c>
      <x:c r="K4" t="str">
        <x:v>C</x:v>
      </x:c>
      <x:c r="L4" t="str">
        <x:v>NOT SCORED</x:v>
      </x:c>
      <x:c r="M4" t="str">
        <x:v>OOI starter value reflects ownership-resolution state only; replace with full formula before public scoring.</x:v>
      </x:c>
    </x:row>
    <x:row r="5">
      <x:c r="A5" t="str">
        <x:v>SHD-004</x:v>
      </x:c>
      <x:c r="B5"/>
      <x:c r="C5"/>
      <x:c r="D5"/>
      <x:c r="E5" t="n">
        <x:v>25</x:v>
      </x:c>
      <x:c r="F5" t="str"/>
      <x:c r="G5"/>
      <x:c r="H5"/>
      <x:c r="I5"/>
      <x:c r="J5" t="str">
        <x:v>v0.1-provisional</x:v>
      </x:c>
      <x:c r="K5" t="str">
        <x:v>C</x:v>
      </x:c>
      <x:c r="L5" t="str">
        <x:v>NOT SCORED</x:v>
      </x:c>
      <x:c r="M5" t="str">
        <x:v>OOI starter value reflects ownership-resolution state only; replace with full formula before public scoring.</x:v>
      </x:c>
    </x:row>
    <x:row r="6">
      <x:c r="A6" t="str">
        <x:v>SHD-005</x:v>
      </x:c>
      <x:c r="B6"/>
      <x:c r="C6"/>
      <x:c r="D6"/>
      <x:c r="E6" t="n">
        <x:v>35</x:v>
      </x:c>
      <x:c r="F6" t="str"/>
      <x:c r="G6"/>
      <x:c r="H6"/>
      <x:c r="I6"/>
      <x:c r="J6" t="str">
        <x:v>v0.1-provisional</x:v>
      </x:c>
      <x:c r="K6" t="str">
        <x:v>C</x:v>
      </x:c>
      <x:c r="L6" t="str">
        <x:v>NOT SCORED</x:v>
      </x:c>
      <x:c r="M6" t="str">
        <x:v>OOI starter value reflects ownership-resolution state only; replace with full formula before public scoring.</x:v>
      </x:c>
    </x:row>
    <x:row r="7">
      <x:c r="A7" t="str">
        <x:v>SHD-006</x:v>
      </x:c>
      <x:c r="B7"/>
      <x:c r="C7"/>
      <x:c r="D7"/>
      <x:c r="E7" t="n">
        <x:v>55</x:v>
      </x:c>
      <x:c r="F7" t="str"/>
      <x:c r="G7"/>
      <x:c r="H7"/>
      <x:c r="I7"/>
      <x:c r="J7" t="str">
        <x:v>v0.1-provisional</x:v>
      </x:c>
      <x:c r="K7" t="str">
        <x:v>C</x:v>
      </x:c>
      <x:c r="L7" t="str">
        <x:v>NOT SCORED</x:v>
      </x:c>
      <x:c r="M7" t="str">
        <x:v>OOI starter value reflects ownership-resolution state only; replace with full formula before public scoring.</x:v>
      </x:c>
    </x:row>
    <x:row r="8">
      <x:c r="A8" t="str">
        <x:v>SHD-007</x:v>
      </x:c>
      <x:c r="B8"/>
      <x:c r="C8"/>
      <x:c r="D8"/>
      <x:c r="E8" t="n">
        <x:v>35</x:v>
      </x:c>
      <x:c r="F8" t="str"/>
      <x:c r="G8"/>
      <x:c r="H8"/>
      <x:c r="I8"/>
      <x:c r="J8" t="str">
        <x:v>v0.1-provisional</x:v>
      </x:c>
      <x:c r="K8" t="str">
        <x:v>C</x:v>
      </x:c>
      <x:c r="L8" t="str">
        <x:v>NOT SCORED</x:v>
      </x:c>
      <x:c r="M8" t="str">
        <x:v>OOI starter value reflects ownership-resolution state only; replace with full formula before public scoring.</x:v>
      </x:c>
    </x:row>
    <x:row r="9">
      <x:c r="A9" t="str">
        <x:v>SHD-008</x:v>
      </x:c>
      <x:c r="B9"/>
      <x:c r="C9"/>
      <x:c r="D9"/>
      <x:c r="E9" t="n">
        <x:v>55</x:v>
      </x:c>
      <x:c r="F9" t="str"/>
      <x:c r="G9"/>
      <x:c r="H9"/>
      <x:c r="I9"/>
      <x:c r="J9" t="str">
        <x:v>v0.1-provisional</x:v>
      </x:c>
      <x:c r="K9" t="str">
        <x:v>C</x:v>
      </x:c>
      <x:c r="L9" t="str">
        <x:v>NOT SCORED</x:v>
      </x:c>
      <x:c r="M9" t="str">
        <x:v>OOI starter value reflects ownership-resolution state only; replace with full formula before public scoring.</x:v>
      </x:c>
    </x:row>
    <x:row r="10">
      <x:c r="A10" t="str">
        <x:v>SHD-009</x:v>
      </x:c>
      <x:c r="B10"/>
      <x:c r="C10"/>
      <x:c r="D10"/>
      <x:c r="E10" t="n">
        <x:v>35</x:v>
      </x:c>
      <x:c r="F10" t="str"/>
      <x:c r="G10"/>
      <x:c r="H10"/>
      <x:c r="I10"/>
      <x:c r="J10" t="str">
        <x:v>v0.1-provisional</x:v>
      </x:c>
      <x:c r="K10" t="str">
        <x:v>C</x:v>
      </x:c>
      <x:c r="L10" t="str">
        <x:v>NOT SCORED</x:v>
      </x:c>
      <x:c r="M10" t="str">
        <x:v>OOI starter value reflects ownership-resolution state only; replace with full formula before public scoring.</x:v>
      </x:c>
    </x:row>
    <x:row r="11">
      <x:c r="A11" t="str">
        <x:v>SHD-010</x:v>
      </x:c>
      <x:c r="B11"/>
      <x:c r="C11"/>
      <x:c r="D11"/>
      <x:c r="E11" t="n">
        <x:v>35</x:v>
      </x:c>
      <x:c r="F11" t="str"/>
      <x:c r="G11"/>
      <x:c r="H11"/>
      <x:c r="I11"/>
      <x:c r="J11" t="str">
        <x:v>v0.1-provisional</x:v>
      </x:c>
      <x:c r="K11" t="str">
        <x:v>C</x:v>
      </x:c>
      <x:c r="L11" t="str">
        <x:v>NOT SCORED</x:v>
      </x:c>
      <x:c r="M11" t="str">
        <x:v>OOI starter value reflects ownership-resolution state only; replace with full formula before public scoring.</x:v>
      </x:c>
    </x:row>
    <x:row r="12">
      <x:c r="A12" t="str">
        <x:v>SHD-011</x:v>
      </x:c>
      <x:c r="B12"/>
      <x:c r="C12"/>
      <x:c r="D12"/>
      <x:c r="E12" t="n">
        <x:v>35</x:v>
      </x:c>
      <x:c r="F12" t="str"/>
      <x:c r="G12"/>
      <x:c r="H12"/>
      <x:c r="I12"/>
      <x:c r="J12" t="str">
        <x:v>v0.1-provisional</x:v>
      </x:c>
      <x:c r="K12" t="str">
        <x:v>C</x:v>
      </x:c>
      <x:c r="L12" t="str">
        <x:v>NOT SCORED</x:v>
      </x:c>
      <x:c r="M12" t="str">
        <x:v>OOI starter value reflects ownership-resolution state only; replace with full formula before public scoring.</x:v>
      </x:c>
    </x:row>
    <x:row r="13">
      <x:c r="A13" t="str">
        <x:v>SHD-012</x:v>
      </x:c>
      <x:c r="B13"/>
      <x:c r="C13"/>
      <x:c r="D13"/>
      <x:c r="E13" t="n">
        <x:v>35</x:v>
      </x:c>
      <x:c r="F13" t="str"/>
      <x:c r="G13"/>
      <x:c r="H13"/>
      <x:c r="I13"/>
      <x:c r="J13" t="str">
        <x:v>v0.1-provisional</x:v>
      </x:c>
      <x:c r="K13" t="str">
        <x:v>C</x:v>
      </x:c>
      <x:c r="L13" t="str">
        <x:v>NOT SCORED</x:v>
      </x:c>
      <x:c r="M13" t="str">
        <x:v>OOI starter value reflects ownership-resolution state only; replace with full formula before public scoring.</x:v>
      </x:c>
    </x:row>
    <x:row r="14">
      <x:c r="A14" t="str">
        <x:v>SHD-013</x:v>
      </x:c>
      <x:c r="B14"/>
      <x:c r="C14"/>
      <x:c r="D14"/>
      <x:c r="E14" t="n">
        <x:v>35</x:v>
      </x:c>
      <x:c r="F14" t="str"/>
      <x:c r="G14"/>
      <x:c r="H14"/>
      <x:c r="I14"/>
      <x:c r="J14" t="str">
        <x:v>v0.1-provisional</x:v>
      </x:c>
      <x:c r="K14" t="str">
        <x:v>C</x:v>
      </x:c>
      <x:c r="L14" t="str">
        <x:v>NOT SCORED</x:v>
      </x:c>
      <x:c r="M14" t="str">
        <x:v>OOI starter value reflects ownership-resolution state only; replace with full formula before public scoring.</x:v>
      </x:c>
    </x:row>
    <x:row r="15">
      <x:c r="A15" t="str">
        <x:v>SHD-014</x:v>
      </x:c>
      <x:c r="B15"/>
      <x:c r="C15"/>
      <x:c r="D15"/>
      <x:c r="E15" t="n">
        <x:v>35</x:v>
      </x:c>
      <x:c r="F15" t="str"/>
      <x:c r="G15"/>
      <x:c r="H15"/>
      <x:c r="I15"/>
      <x:c r="J15" t="str">
        <x:v>v0.1-provisional</x:v>
      </x:c>
      <x:c r="K15" t="str">
        <x:v>C</x:v>
      </x:c>
      <x:c r="L15" t="str">
        <x:v>NOT SCORED</x:v>
      </x:c>
      <x:c r="M15" t="str">
        <x:v>OOI starter value reflects ownership-resolution state only; replace with full formula before public scoring.</x:v>
      </x:c>
    </x:row>
    <x:row r="16">
      <x:c r="A16" t="str">
        <x:v>SHD-015</x:v>
      </x:c>
      <x:c r="B16"/>
      <x:c r="C16"/>
      <x:c r="D16"/>
      <x:c r="E16" t="n">
        <x:v>35</x:v>
      </x:c>
      <x:c r="F16" t="str"/>
      <x:c r="G16"/>
      <x:c r="H16"/>
      <x:c r="I16"/>
      <x:c r="J16" t="str">
        <x:v>v0.1-provisional</x:v>
      </x:c>
      <x:c r="K16" t="str">
        <x:v>C</x:v>
      </x:c>
      <x:c r="L16" t="str">
        <x:v>NOT SCORED</x:v>
      </x:c>
      <x:c r="M16" t="str">
        <x:v>OOI starter value reflects ownership-resolution state only; replace with full formula before public scoring.</x:v>
      </x:c>
    </x:row>
    <x:row r="17">
      <x:c r="A17" t="str">
        <x:v>SHD-016</x:v>
      </x:c>
      <x:c r="B17"/>
      <x:c r="C17"/>
      <x:c r="D17"/>
      <x:c r="E17" t="n">
        <x:v>35</x:v>
      </x:c>
      <x:c r="F17" t="str"/>
      <x:c r="G17"/>
      <x:c r="H17"/>
      <x:c r="I17"/>
      <x:c r="J17" t="str">
        <x:v>v0.1-provisional</x:v>
      </x:c>
      <x:c r="K17" t="str">
        <x:v>C</x:v>
      </x:c>
      <x:c r="L17" t="str">
        <x:v>NOT SCORED</x:v>
      </x:c>
      <x:c r="M17" t="str">
        <x:v>OOI starter value reflects ownership-resolution state only; replace with full formula before public scoring.</x:v>
      </x:c>
    </x:row>
    <x:row r="18">
      <x:c r="A18" t="str">
        <x:v>SHD-017</x:v>
      </x:c>
      <x:c r="B18"/>
      <x:c r="C18"/>
      <x:c r="D18"/>
      <x:c r="E18" t="n">
        <x:v>90</x:v>
      </x:c>
      <x:c r="F18" t="str"/>
      <x:c r="G18"/>
      <x:c r="H18"/>
      <x:c r="I18"/>
      <x:c r="J18" t="str">
        <x:v>v0.1-provisional</x:v>
      </x:c>
      <x:c r="K18" t="str">
        <x:v>C</x:v>
      </x:c>
      <x:c r="L18" t="str">
        <x:v>NOT SCORED</x:v>
      </x:c>
      <x:c r="M18" t="str">
        <x:v>OOI starter value reflects ownership-resolution state only; replace with full formula before public scoring.</x:v>
      </x:c>
    </x:row>
    <x:row r="19">
      <x:c r="A19" t="str">
        <x:v>SHD-018</x:v>
      </x:c>
      <x:c r="B19"/>
      <x:c r="C19"/>
      <x:c r="D19"/>
      <x:c r="E19" t="n">
        <x:v>75</x:v>
      </x:c>
      <x:c r="F19" t="str"/>
      <x:c r="G19"/>
      <x:c r="H19"/>
      <x:c r="I19"/>
      <x:c r="J19" t="str">
        <x:v>v0.1-provisional</x:v>
      </x:c>
      <x:c r="K19" t="str">
        <x:v>C</x:v>
      </x:c>
      <x:c r="L19" t="str">
        <x:v>NOT SCORED</x:v>
      </x:c>
      <x:c r="M19" t="str">
        <x:v>OOI starter value reflects ownership-resolution state only; replace with full formula before public scoring.</x:v>
      </x:c>
    </x:row>
    <x:row r="20">
      <x:c r="A20" t="str">
        <x:v>SHD-019</x:v>
      </x:c>
      <x:c r="B20"/>
      <x:c r="C20"/>
      <x:c r="D20"/>
      <x:c r="E20" t="n">
        <x:v>90</x:v>
      </x:c>
      <x:c r="F20" t="str"/>
      <x:c r="G20"/>
      <x:c r="H20"/>
      <x:c r="I20"/>
      <x:c r="J20" t="str">
        <x:v>v0.1-provisional</x:v>
      </x:c>
      <x:c r="K20" t="str">
        <x:v>C</x:v>
      </x:c>
      <x:c r="L20" t="str">
        <x:v>NOT SCORED</x:v>
      </x:c>
      <x:c r="M20" t="str">
        <x:v>OOI starter value reflects ownership-resolution state only; replace with full formula before public scoring.</x:v>
      </x:c>
    </x:row>
    <x:row r="21">
      <x:c r="A21" t="str">
        <x:v>SHD-020</x:v>
      </x:c>
      <x:c r="B21"/>
      <x:c r="C21"/>
      <x:c r="D21"/>
      <x:c r="E21" t="n">
        <x:v>90</x:v>
      </x:c>
      <x:c r="F21" t="str"/>
      <x:c r="G21"/>
      <x:c r="H21"/>
      <x:c r="I21"/>
      <x:c r="J21" t="str">
        <x:v>v0.1-provisional</x:v>
      </x:c>
      <x:c r="K21" t="str">
        <x:v>C</x:v>
      </x:c>
      <x:c r="L21" t="str">
        <x:v>NOT SCORED</x:v>
      </x:c>
      <x:c r="M21" t="str">
        <x:v>OOI starter value reflects ownership-resolution state only; replace with full formula before public scoring.</x:v>
      </x:c>
    </x:row>
    <x:row r="22">
      <x:c r="A22" t="str">
        <x:v>SHD-021</x:v>
      </x:c>
      <x:c r="B22"/>
      <x:c r="C22"/>
      <x:c r="D22"/>
      <x:c r="E22" t="n">
        <x:v>90</x:v>
      </x:c>
      <x:c r="F22" t="str"/>
      <x:c r="G22"/>
      <x:c r="H22"/>
      <x:c r="I22"/>
      <x:c r="J22" t="str">
        <x:v>v0.1-provisional</x:v>
      </x:c>
      <x:c r="K22" t="str">
        <x:v>C</x:v>
      </x:c>
      <x:c r="L22" t="str">
        <x:v>NOT SCORED</x:v>
      </x:c>
      <x:c r="M22" t="str">
        <x:v>OOI starter value reflects ownership-resolution state only; replace with full formula before public scoring.</x:v>
      </x:c>
    </x:row>
    <x:row r="23">
      <x:c r="A23" t="str">
        <x:v>SHD-022</x:v>
      </x:c>
      <x:c r="B23"/>
      <x:c r="C23"/>
      <x:c r="D23"/>
      <x:c r="E23" t="n">
        <x:v>90</x:v>
      </x:c>
      <x:c r="F23" t="str"/>
      <x:c r="G23"/>
      <x:c r="H23"/>
      <x:c r="I23"/>
      <x:c r="J23" t="str">
        <x:v>v0.1-provisional</x:v>
      </x:c>
      <x:c r="K23" t="str">
        <x:v>C</x:v>
      </x:c>
      <x:c r="L23" t="str">
        <x:v>NOT SCORED</x:v>
      </x:c>
      <x:c r="M23" t="str">
        <x:v>OOI starter value reflects ownership-resolution state only; replace with full formula before public scoring.</x:v>
      </x:c>
    </x:row>
    <x:row r="24">
      <x:c r="A24" t="str">
        <x:v>SHD-023</x:v>
      </x:c>
      <x:c r="B24"/>
      <x:c r="C24"/>
      <x:c r="D24"/>
      <x:c r="E24" t="n">
        <x:v>90</x:v>
      </x:c>
      <x:c r="F24" t="str"/>
      <x:c r="G24"/>
      <x:c r="H24"/>
      <x:c r="I24"/>
      <x:c r="J24" t="str">
        <x:v>v0.1-provisional</x:v>
      </x:c>
      <x:c r="K24" t="str">
        <x:v>C</x:v>
      </x:c>
      <x:c r="L24" t="str">
        <x:v>NOT SCORED</x:v>
      </x:c>
      <x:c r="M24" t="str">
        <x:v>OOI starter value reflects ownership-resolution state only; replace with full formula before public scoring.</x:v>
      </x:c>
    </x:row>
    <x:row r="25">
      <x:c r="A25" t="str">
        <x:v>SHD-024</x:v>
      </x:c>
      <x:c r="B25"/>
      <x:c r="C25"/>
      <x:c r="D25"/>
      <x:c r="E25" t="n">
        <x:v>90</x:v>
      </x:c>
      <x:c r="F25" t="str"/>
      <x:c r="G25"/>
      <x:c r="H25"/>
      <x:c r="I25"/>
      <x:c r="J25" t="str">
        <x:v>v0.1-provisional</x:v>
      </x:c>
      <x:c r="K25" t="str">
        <x:v>C</x:v>
      </x:c>
      <x:c r="L25" t="str">
        <x:v>NOT SCORED</x:v>
      </x:c>
      <x:c r="M25" t="str">
        <x:v>OOI starter value reflects ownership-resolution state only; replace with full formula before public scoring.</x:v>
      </x:c>
    </x:row>
    <x:row r="26">
      <x:c r="A26" t="str">
        <x:v>SHD-025</x:v>
      </x:c>
      <x:c r="B26"/>
      <x:c r="C26"/>
      <x:c r="D26"/>
      <x:c r="E26" t="n">
        <x:v>90</x:v>
      </x:c>
      <x:c r="F26" t="str"/>
      <x:c r="G26"/>
      <x:c r="H26"/>
      <x:c r="I26"/>
      <x:c r="J26" t="str">
        <x:v>v0.1-provisional</x:v>
      </x:c>
      <x:c r="K26" t="str">
        <x:v>C</x:v>
      </x:c>
      <x:c r="L26" t="str">
        <x:v>NOT SCORED</x:v>
      </x:c>
      <x:c r="M26" t="str">
        <x:v>OOI starter value reflects ownership-resolution state only; replace with full formula before public scoring.</x:v>
      </x:c>
    </x:row>
    <x:row r="27">
      <x:c r="A27" t="str">
        <x:v>SHD-026</x:v>
      </x:c>
      <x:c r="B27"/>
      <x:c r="C27"/>
      <x:c r="D27"/>
      <x:c r="E27" t="n">
        <x:v>35</x:v>
      </x:c>
      <x:c r="F27" t="str"/>
      <x:c r="G27"/>
      <x:c r="H27"/>
      <x:c r="I27"/>
      <x:c r="J27" t="str">
        <x:v>v0.1-provisional</x:v>
      </x:c>
      <x:c r="K27" t="str">
        <x:v>C</x:v>
      </x:c>
      <x:c r="L27" t="str">
        <x:v>NOT SCORED</x:v>
      </x:c>
      <x:c r="M27" t="str">
        <x:v>OOI starter value reflects ownership-resolution state only; replace with full formula before public scoring.</x:v>
      </x:c>
    </x:row>
    <x:row r="28">
      <x:c r="A28" t="str">
        <x:v>SHD-027</x:v>
      </x:c>
      <x:c r="B28"/>
      <x:c r="C28"/>
      <x:c r="D28"/>
      <x:c r="E28" t="n">
        <x:v>35</x:v>
      </x:c>
      <x:c r="F28" t="str"/>
      <x:c r="G28"/>
      <x:c r="H28"/>
      <x:c r="I28"/>
      <x:c r="J28" t="str">
        <x:v>v0.1-provisional</x:v>
      </x:c>
      <x:c r="K28" t="str">
        <x:v>C</x:v>
      </x:c>
      <x:c r="L28" t="str">
        <x:v>NOT SCORED</x:v>
      </x:c>
      <x:c r="M28" t="str">
        <x:v>OOI starter value reflects ownership-resolution state only; replace with full formula before public scoring.</x:v>
      </x:c>
    </x:row>
    <x:row r="29">
      <x:c r="A29" t="str">
        <x:v>SHD-028</x:v>
      </x:c>
      <x:c r="B29"/>
      <x:c r="C29"/>
      <x:c r="D29"/>
      <x:c r="E29" t="n">
        <x:v>90</x:v>
      </x:c>
      <x:c r="F29" t="str"/>
      <x:c r="G29"/>
      <x:c r="H29"/>
      <x:c r="I29"/>
      <x:c r="J29" t="str">
        <x:v>v0.1-provisional</x:v>
      </x:c>
      <x:c r="K29" t="str">
        <x:v>C</x:v>
      </x:c>
      <x:c r="L29" t="str">
        <x:v>NOT SCORED</x:v>
      </x:c>
      <x:c r="M29" t="str">
        <x:v>OOI starter value reflects ownership-resolution state only; replace with full formula before public scoring.</x:v>
      </x:c>
    </x:row>
    <x:row r="30">
      <x:c r="A30" t="str">
        <x:v>SHD-029</x:v>
      </x:c>
      <x:c r="B30"/>
      <x:c r="C30"/>
      <x:c r="D30"/>
      <x:c r="E30" t="n">
        <x:v>90</x:v>
      </x:c>
      <x:c r="F30" t="str"/>
      <x:c r="G30"/>
      <x:c r="H30"/>
      <x:c r="I30"/>
      <x:c r="J30" t="str">
        <x:v>v0.1-provisional</x:v>
      </x:c>
      <x:c r="K30" t="str">
        <x:v>C</x:v>
      </x:c>
      <x:c r="L30" t="str">
        <x:v>NOT SCORED</x:v>
      </x:c>
      <x:c r="M30" t="str">
        <x:v>OOI starter value reflects ownership-resolution state only; replace with full formula before public scoring.</x:v>
      </x:c>
    </x:row>
    <x:row r="31">
      <x:c r="A31" t="str">
        <x:v>SHD-030</x:v>
      </x:c>
      <x:c r="B31"/>
      <x:c r="C31"/>
      <x:c r="D31"/>
      <x:c r="E31" t="n">
        <x:v>90</x:v>
      </x:c>
      <x:c r="F31" t="str"/>
      <x:c r="G31"/>
      <x:c r="H31"/>
      <x:c r="I31"/>
      <x:c r="J31" t="str">
        <x:v>v0.1-provisional</x:v>
      </x:c>
      <x:c r="K31" t="str">
        <x:v>C</x:v>
      </x:c>
      <x:c r="L31" t="str">
        <x:v>NOT SCORED</x:v>
      </x:c>
      <x:c r="M31" t="str">
        <x:v>OOI starter value reflects ownership-resolution state only; replace with full formula before public scoring.</x:v>
      </x:c>
    </x:row>
    <x:row r="32">
      <x:c r="A32" t="str">
        <x:v>SHD-031</x:v>
      </x:c>
      <x:c r="B32"/>
      <x:c r="C32"/>
      <x:c r="D32"/>
      <x:c r="E32" t="n">
        <x:v>90</x:v>
      </x:c>
      <x:c r="F32" t="str"/>
      <x:c r="G32"/>
      <x:c r="H32"/>
      <x:c r="I32"/>
      <x:c r="J32" t="str">
        <x:v>v0.1-provisional</x:v>
      </x:c>
      <x:c r="K32" t="str">
        <x:v>C</x:v>
      </x:c>
      <x:c r="L32" t="str">
        <x:v>NOT SCORED</x:v>
      </x:c>
      <x:c r="M32" t="str">
        <x:v>OOI starter value reflects ownership-resolution state only; replace with full formula before public scoring.</x:v>
      </x:c>
    </x:row>
    <x:row r="33">
      <x:c r="A33" t="str">
        <x:v>SHD-032</x:v>
      </x:c>
      <x:c r="B33"/>
      <x:c r="C33"/>
      <x:c r="D33"/>
      <x:c r="E33" t="n">
        <x:v>90</x:v>
      </x:c>
      <x:c r="F33" t="str"/>
      <x:c r="G33"/>
      <x:c r="H33"/>
      <x:c r="I33"/>
      <x:c r="J33" t="str">
        <x:v>v0.1-provisional</x:v>
      </x:c>
      <x:c r="K33" t="str">
        <x:v>C</x:v>
      </x:c>
      <x:c r="L33" t="str">
        <x:v>NOT SCORED</x:v>
      </x:c>
      <x:c r="M33" t="str">
        <x:v>OOI starter value reflects ownership-resolution state only; replace with full formula before public scoring.</x:v>
      </x:c>
    </x:row>
    <x:row r="34">
      <x:c r="A34" t="str">
        <x:v>SHD-033</x:v>
      </x:c>
      <x:c r="B34"/>
      <x:c r="C34"/>
      <x:c r="D34"/>
      <x:c r="E34" t="n">
        <x:v>90</x:v>
      </x:c>
      <x:c r="F34" t="str"/>
      <x:c r="G34"/>
      <x:c r="H34"/>
      <x:c r="I34"/>
      <x:c r="J34" t="str">
        <x:v>v0.1-provisional</x:v>
      </x:c>
      <x:c r="K34" t="str">
        <x:v>C</x:v>
      </x:c>
      <x:c r="L34" t="str">
        <x:v>NOT SCORED</x:v>
      </x:c>
      <x:c r="M34" t="str">
        <x:v>OOI starter value reflects ownership-resolution state only; replace with full formula before public scoring.</x:v>
      </x:c>
    </x:row>
    <x:row r="35">
      <x:c r="A35" t="str">
        <x:v>SHD-034</x:v>
      </x:c>
      <x:c r="B35"/>
      <x:c r="C35"/>
      <x:c r="D35"/>
      <x:c r="E35" t="n">
        <x:v>90</x:v>
      </x:c>
      <x:c r="F35" t="str"/>
      <x:c r="G35"/>
      <x:c r="H35"/>
      <x:c r="I35"/>
      <x:c r="J35" t="str">
        <x:v>v0.1-provisional</x:v>
      </x:c>
      <x:c r="K35" t="str">
        <x:v>C</x:v>
      </x:c>
      <x:c r="L35" t="str">
        <x:v>NOT SCORED</x:v>
      </x:c>
      <x:c r="M35" t="str">
        <x:v>OOI starter value reflects ownership-resolution state only; replace with full formula before public scoring.</x:v>
      </x:c>
    </x:row>
    <x:row r="36">
      <x:c r="A36" t="str">
        <x:v>SHD-035</x:v>
      </x:c>
      <x:c r="B36"/>
      <x:c r="C36"/>
      <x:c r="D36"/>
      <x:c r="E36" t="n">
        <x:v>90</x:v>
      </x:c>
      <x:c r="F36" t="str"/>
      <x:c r="G36"/>
      <x:c r="H36"/>
      <x:c r="I36"/>
      <x:c r="J36" t="str">
        <x:v>v0.1-provisional</x:v>
      </x:c>
      <x:c r="K36" t="str">
        <x:v>C</x:v>
      </x:c>
      <x:c r="L36" t="str">
        <x:v>NOT SCORED</x:v>
      </x:c>
      <x:c r="M36" t="str">
        <x:v>OOI starter value reflects ownership-resolution state only; replace with full formula before public scoring.</x:v>
      </x:c>
    </x:row>
    <x:row r="37">
      <x:c r="A37" t="str">
        <x:v>SHD-036</x:v>
      </x:c>
      <x:c r="B37"/>
      <x:c r="C37"/>
      <x:c r="D37"/>
      <x:c r="E37" t="n">
        <x:v>90</x:v>
      </x:c>
      <x:c r="F37" t="str"/>
      <x:c r="G37"/>
      <x:c r="H37"/>
      <x:c r="I37"/>
      <x:c r="J37" t="str">
        <x:v>v0.1-provisional</x:v>
      </x:c>
      <x:c r="K37" t="str">
        <x:v>C</x:v>
      </x:c>
      <x:c r="L37" t="str">
        <x:v>NOT SCORED</x:v>
      </x:c>
      <x:c r="M37" t="str">
        <x:v>OOI starter value reflects ownership-resolution state only; replace with full formula before public scoring.</x:v>
      </x:c>
    </x:row>
  </x:sheetData>
  <x:conditionalFormatting sqref="B2:B500">
    <x:cfRule type="colorScale" priority="1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C2:C500">
    <x:cfRule type="colorScale" priority="2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D2:D500">
    <x:cfRule type="colorScale" priority="3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E2:E500">
    <x:cfRule type="colorScale" priority="4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G2:G500">
    <x:cfRule type="colorScale" priority="5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conditionalFormatting sqref="H2:H500">
    <x:cfRule type="colorScale" priority="6">
      <x:colorScale>
        <x:cfvo type="min"/>
        <x:cfvo type="percentile" val="50"/>
        <x:cfvo type="max"/>
        <x:color rgb="FFE5F4EA"/>
        <x:color rgb="FFFFF3CD"/>
        <x:color rgb="FF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293e695c6f461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8" hidden="0" customWidth="1"/>
    <x:col min="5" max="5" width="16" hidden="0" customWidth="1"/>
    <x:col min="6" max="6" width="18" hidden="0" customWidth="1"/>
    <x:col min="7" max="7" width="48" hidden="0" customWidth="1"/>
    <x:col min="8" max="8" width="46" hidden="0" customWidth="1"/>
    <x:col min="9" max="9" width="14" hidden="0" customWidth="1"/>
    <x:col min="10" max="10" width="48" hidden="0" customWidth="1"/>
  </x:cols>
  <x:sheetData>
    <x:row r="1" ht="30" customHeight="1">
      <x:c r="A1" s="18" t="str">
        <x:v>Asset_ID</x:v>
      </x:c>
      <x:c r="B1" s="18" t="str">
        <x:v>Threat_ID</x:v>
      </x:c>
      <x:c r="C1" s="18" t="str">
        <x:v>Vector</x:v>
      </x:c>
      <x:c r="D1" s="18" t="str">
        <x:v>Target_Layer</x:v>
      </x:c>
      <x:c r="E1" s="18" t="str">
        <x:v>Severity_0_100</x:v>
      </x:c>
      <x:c r="F1" s="18" t="str">
        <x:v>Evidence_State</x:v>
      </x:c>
      <x:c r="G1" s="18" t="str">
        <x:v>Control_or_Mitigation</x:v>
      </x:c>
      <x:c r="H1" s="18" t="str">
        <x:v>M5Canon_Relevance</x:v>
      </x:c>
      <x:c r="I1" s="18" t="str">
        <x:v>Status</x:v>
      </x:c>
      <x:c r="J1" s="18" t="str">
        <x:v>Notes</x:v>
      </x:c>
    </x:row>
    <x:row r="2">
      <x:c r="A2" t="str">
        <x:v>SHD-021</x:v>
      </x:c>
      <x:c r="B2" t="str">
        <x:v>THR-SHD021-001</x:v>
      </x:c>
      <x:c r="C2" t="str">
        <x:v>unresolved_rights_and_successor_liability</x:v>
      </x:c>
      <x:c r="D2" t="str">
        <x:v>title/rights</x:v>
      </x:c>
      <x:c r="E2"/>
      <x:c r="F2" t="str">
        <x:v>SUBMITTED</x:v>
      </x:c>
      <x:c r="G2" t="str">
        <x:v>Require deed/right resolution + environmental obligation review before transferability assessment</x:v>
      </x:c>
      <x:c r="H2" t="str">
        <x:v>State/authority decision must fail closed if obligations or rights are unresolved</x:v>
      </x:c>
      <x:c r="I2" t="str">
        <x:v>OPEN</x:v>
      </x:c>
      <x:c r="J2" t="str">
        <x:v>Seed threat vector for Hawkinsville rights package.</x:v>
      </x:c>
    </x:row>
    <x:row r="3">
      <x:c r="A3" t="str">
        <x:v>SHD-029</x:v>
      </x:c>
      <x:c r="B3" t="str">
        <x:v>THR-SHD029-001</x:v>
      </x:c>
      <x:c r="C3" t="str">
        <x:v>title_state_incomplete_before_acquisition</x:v>
      </x:c>
      <x:c r="D3" t="str">
        <x:v>title/transfer</x:v>
      </x:c>
      <x:c r="E3"/>
      <x:c r="F3" t="str">
        <x:v>SOURCE_VERIFIED</x:v>
      </x:c>
      <x:c r="G3" t="str">
        <x:v>Complete TitleChain Asset State before People’s Trust advancement</x:v>
      </x:c>
      <x:c r="H3" t="str">
        <x:v>M5Canon cannot authorize consequential transfer without verified authority/state</x:v>
      </x:c>
      <x:c r="I3" t="str">
        <x:v>OPEN</x:v>
      </x:c>
      <x:c r="J3" t="str">
        <x:v>Reference asset threat path.</x:v>
      </x:c>
    </x:row>
  </x:sheetData>
  <x:pageMargins left="0.7" right="0.7" top="0.75" bottom="0.75" header="0.3" footer="0.3"/>
  <x:tableParts count="1">
    <x:tablePart xmlns:r="http://schemas.openxmlformats.org/officeDocument/2006/relationships" r:id="R9c7fd9cffbc643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23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  <x:col min="11" max="11" width="52" hidden="0" customWidth="1"/>
  </x:cols>
  <x:sheetData>
    <x:row r="1" ht="30" customHeight="1">
      <x:c r="A1" s="18" t="str">
        <x:v>Asset_ID</x:v>
      </x:c>
      <x:c r="B1" s="18" t="str">
        <x:v>Review_State</x:v>
      </x:c>
      <x:c r="C1" s="18" t="str">
        <x:v>Public_Benefit_Eligibility</x:v>
      </x:c>
      <x:c r="D1" s="18" t="str">
        <x:v>Title_Readiness</x:v>
      </x:c>
      <x:c r="E1" s="18" t="str">
        <x:v>Rights_Readiness</x:v>
      </x:c>
      <x:c r="F1" s="18" t="str">
        <x:v>Environmental_Readiness</x:v>
      </x:c>
      <x:c r="G1" s="18" t="str">
        <x:v>Capital_Feasibility</x:v>
      </x:c>
      <x:c r="H1" s="18" t="str">
        <x:v>Community_Need</x:v>
      </x:c>
      <x:c r="I1" s="18" t="str">
        <x:v>Jurisdiction_Readiness</x:v>
      </x:c>
      <x:c r="J1" s="18" t="str">
        <x:v>Decision</x:v>
      </x:c>
      <x:c r="K1" s="18" t="str">
        <x:v>Notes</x:v>
      </x:c>
    </x:row>
    <x:row r="2">
      <x:c r="A2" t="str">
        <x:v>SHD-001</x:v>
      </x:c>
      <x:c r="B2" t="str">
        <x:v>HISTORICAL COMPARISON</x:v>
      </x:c>
      <x:c r="C2" t="str">
        <x:v>UNASSESSED</x:v>
      </x:c>
      <x:c r="D2" t="str">
        <x:v>UNASSESSED</x:v>
      </x:c>
      <x:c r="E2" t="str">
        <x:v>UNASSESSED</x:v>
      </x:c>
      <x:c r="F2" t="str">
        <x:v>UNASSESSED</x:v>
      </x:c>
      <x:c r="G2" t="str">
        <x:v>UNASSESSED</x:v>
      </x:c>
      <x:c r="H2" t="str">
        <x:v>UNASSESSED</x:v>
      </x:c>
      <x:c r="I2" t="str">
        <x:v>UNASSESSED</x:v>
      </x:c>
      <x:c r="J2" t="str">
        <x:v>NEED MORE EVIDENCE</x:v>
      </x:c>
      <x:c r="K2" t="str"/>
    </x:row>
    <x:row r="3">
      <x:c r="A3" t="str">
        <x:v>SHD-002</x:v>
      </x:c>
      <x:c r="B3" t="str">
        <x:v>HISTORICAL COMPARISON</x:v>
      </x:c>
      <x:c r="C3" t="str">
        <x:v>UNASSESSED</x:v>
      </x:c>
      <x:c r="D3" t="str">
        <x:v>UNASSESSED</x:v>
      </x:c>
      <x:c r="E3" t="str">
        <x:v>UNASSESSED</x:v>
      </x:c>
      <x:c r="F3" t="str">
        <x:v>UNASSESSED</x:v>
      </x:c>
      <x:c r="G3" t="str">
        <x:v>UNASSESSED</x:v>
      </x:c>
      <x:c r="H3" t="str">
        <x:v>UNASSESSED</x:v>
      </x:c>
      <x:c r="I3" t="str">
        <x:v>UNASSESSED</x:v>
      </x:c>
      <x:c r="J3" t="str">
        <x:v>NEED MORE EVIDENCE</x:v>
      </x:c>
      <x:c r="K3" t="str"/>
    </x:row>
    <x:row r="4">
      <x:c r="A4" t="str">
        <x:v>SHD-003</x:v>
      </x:c>
      <x:c r="B4" t="str">
        <x:v>HISTORICAL COMPARISON</x:v>
      </x:c>
      <x:c r="C4" t="str">
        <x:v>UNASSESSED</x:v>
      </x:c>
      <x:c r="D4" t="str">
        <x:v>UNASSESSED</x:v>
      </x:c>
      <x:c r="E4" t="str">
        <x:v>UNASSESSED</x:v>
      </x:c>
      <x:c r="F4" t="str">
        <x:v>UNASSESSED</x:v>
      </x:c>
      <x:c r="G4" t="str">
        <x:v>UNASSESSED</x:v>
      </x:c>
      <x:c r="H4" t="str">
        <x:v>UNASSESSED</x:v>
      </x:c>
      <x:c r="I4" t="str">
        <x:v>UNASSESSED</x:v>
      </x:c>
      <x:c r="J4" t="str">
        <x:v>NEED MORE EVIDENCE</x:v>
      </x:c>
      <x:c r="K4" t="str"/>
    </x:row>
    <x:row r="5">
      <x:c r="A5" t="str">
        <x:v>SHD-004</x:v>
      </x:c>
      <x:c r="B5" t="str">
        <x:v>HISTORICAL COMPARISON</x:v>
      </x:c>
      <x:c r="C5" t="str">
        <x:v>UNASSESSED</x:v>
      </x:c>
      <x:c r="D5" t="str">
        <x:v>UNASSESSED</x:v>
      </x:c>
      <x:c r="E5" t="str">
        <x:v>UNASSESSED</x:v>
      </x:c>
      <x:c r="F5" t="str">
        <x:v>UNASSESSED</x:v>
      </x:c>
      <x:c r="G5" t="str">
        <x:v>UNASSESSED</x:v>
      </x:c>
      <x:c r="H5" t="str">
        <x:v>UNASSESSED</x:v>
      </x:c>
      <x:c r="I5" t="str">
        <x:v>UNASSESSED</x:v>
      </x:c>
      <x:c r="J5" t="str">
        <x:v>NEED MORE EVIDENCE</x:v>
      </x:c>
      <x:c r="K5" t="str"/>
    </x:row>
    <x:row r="6">
      <x:c r="A6" t="str">
        <x:v>SHD-005</x:v>
      </x:c>
      <x:c r="B6" t="str">
        <x:v>HISTORICAL COMPARISON</x:v>
      </x:c>
      <x:c r="C6" t="str">
        <x:v>UNASSESSED</x:v>
      </x:c>
      <x:c r="D6" t="str">
        <x:v>UNASSESSED</x:v>
      </x:c>
      <x:c r="E6" t="str">
        <x:v>UNASSESSED</x:v>
      </x:c>
      <x:c r="F6" t="str">
        <x:v>UNASSESSED</x:v>
      </x:c>
      <x:c r="G6" t="str">
        <x:v>UNASSESSED</x:v>
      </x:c>
      <x:c r="H6" t="str">
        <x:v>UNASSESSED</x:v>
      </x:c>
      <x:c r="I6" t="str">
        <x:v>UNASSESSED</x:v>
      </x:c>
      <x:c r="J6" t="str">
        <x:v>NEED MORE EVIDENCE</x:v>
      </x:c>
      <x:c r="K6" t="str"/>
    </x:row>
    <x:row r="7">
      <x:c r="A7" t="str">
        <x:v>SHD-006</x:v>
      </x:c>
      <x:c r="B7" t="str">
        <x:v>HISTORICAL COMPARISON</x:v>
      </x:c>
      <x:c r="C7" t="str">
        <x:v>UNASSESSED</x:v>
      </x:c>
      <x:c r="D7" t="str">
        <x:v>UNASSESSED</x:v>
      </x:c>
      <x:c r="E7" t="str">
        <x:v>UNASSESSED</x:v>
      </x:c>
      <x:c r="F7" t="str">
        <x:v>UNASSESSED</x:v>
      </x:c>
      <x:c r="G7" t="str">
        <x:v>UNASSESSED</x:v>
      </x:c>
      <x:c r="H7" t="str">
        <x:v>UNASSESSED</x:v>
      </x:c>
      <x:c r="I7" t="str">
        <x:v>UNASSESSED</x:v>
      </x:c>
      <x:c r="J7" t="str">
        <x:v>NEED MORE EVIDENCE</x:v>
      </x:c>
      <x:c r="K7" t="str"/>
    </x:row>
    <x:row r="8">
      <x:c r="A8" t="str">
        <x:v>SHD-007</x:v>
      </x:c>
      <x:c r="B8" t="str">
        <x:v>HISTORICAL COMPARISON</x:v>
      </x:c>
      <x:c r="C8" t="str">
        <x:v>UNASSESSED</x:v>
      </x:c>
      <x:c r="D8" t="str">
        <x:v>UNASSESSED</x:v>
      </x:c>
      <x:c r="E8" t="str">
        <x:v>UNASSESSED</x:v>
      </x:c>
      <x:c r="F8" t="str">
        <x:v>UNASSESSED</x:v>
      </x:c>
      <x:c r="G8" t="str">
        <x:v>UNASSESSED</x:v>
      </x:c>
      <x:c r="H8" t="str">
        <x:v>UNASSESSED</x:v>
      </x:c>
      <x:c r="I8" t="str">
        <x:v>UNASSESSED</x:v>
      </x:c>
      <x:c r="J8" t="str">
        <x:v>NEED MORE EVIDENCE</x:v>
      </x:c>
      <x:c r="K8" t="str"/>
    </x:row>
    <x:row r="9">
      <x:c r="A9" t="str">
        <x:v>SHD-008</x:v>
      </x:c>
      <x:c r="B9" t="str">
        <x:v>HISTORICAL COMPARISON</x:v>
      </x:c>
      <x:c r="C9" t="str">
        <x:v>UNASSESSED</x:v>
      </x:c>
      <x:c r="D9" t="str">
        <x:v>UNASSESSED</x:v>
      </x:c>
      <x:c r="E9" t="str">
        <x:v>UNASSESSED</x:v>
      </x:c>
      <x:c r="F9" t="str">
        <x:v>UNASSESSED</x:v>
      </x:c>
      <x:c r="G9" t="str">
        <x:v>UNASSESSED</x:v>
      </x:c>
      <x:c r="H9" t="str">
        <x:v>UNASSESSED</x:v>
      </x:c>
      <x:c r="I9" t="str">
        <x:v>UNASSESSED</x:v>
      </x:c>
      <x:c r="J9" t="str">
        <x:v>NEED MORE EVIDENCE</x:v>
      </x:c>
      <x:c r="K9" t="str"/>
    </x:row>
    <x:row r="10">
      <x:c r="A10" t="str">
        <x:v>SHD-009</x:v>
      </x:c>
      <x:c r="B10" t="str">
        <x:v>HISTORICAL COMPARISON</x:v>
      </x:c>
      <x:c r="C10" t="str">
        <x:v>UNASSESSED</x:v>
      </x:c>
      <x:c r="D10" t="str">
        <x:v>UNASSESSED</x:v>
      </x:c>
      <x:c r="E10" t="str">
        <x:v>UNASSESSED</x:v>
      </x:c>
      <x:c r="F10" t="str">
        <x:v>UNASSESSED</x:v>
      </x:c>
      <x:c r="G10" t="str">
        <x:v>UNASSESSED</x:v>
      </x:c>
      <x:c r="H10" t="str">
        <x:v>UNASSESSED</x:v>
      </x:c>
      <x:c r="I10" t="str">
        <x:v>UNASSESSED</x:v>
      </x:c>
      <x:c r="J10" t="str">
        <x:v>NEED MORE EVIDENCE</x:v>
      </x:c>
      <x:c r="K10" t="str"/>
    </x:row>
    <x:row r="11">
      <x:c r="A11" t="str">
        <x:v>SHD-010</x:v>
      </x:c>
      <x:c r="B11" t="str">
        <x:v>HISTORICAL COMPARISON</x:v>
      </x:c>
      <x:c r="C11" t="str">
        <x:v>UNASSESSED</x:v>
      </x:c>
      <x:c r="D11" t="str">
        <x:v>UNASSESSED</x:v>
      </x:c>
      <x:c r="E11" t="str">
        <x:v>UNASSESSED</x:v>
      </x:c>
      <x:c r="F11" t="str">
        <x:v>UNASSESSED</x:v>
      </x:c>
      <x:c r="G11" t="str">
        <x:v>UNASSESSED</x:v>
      </x:c>
      <x:c r="H11" t="str">
        <x:v>UNASSESSED</x:v>
      </x:c>
      <x:c r="I11" t="str">
        <x:v>UNASSESSED</x:v>
      </x:c>
      <x:c r="J11" t="str">
        <x:v>NEED MORE EVIDENCE</x:v>
      </x:c>
      <x:c r="K11" t="str"/>
    </x:row>
    <x:row r="12">
      <x:c r="A12" t="str">
        <x:v>SHD-011</x:v>
      </x:c>
      <x:c r="B12" t="str">
        <x:v>HISTORICAL COMPARISON</x:v>
      </x:c>
      <x:c r="C12" t="str">
        <x:v>UNASSESSED</x:v>
      </x:c>
      <x:c r="D12" t="str">
        <x:v>UNASSESSED</x:v>
      </x:c>
      <x:c r="E12" t="str">
        <x:v>UNASSESSED</x:v>
      </x:c>
      <x:c r="F12" t="str">
        <x:v>UNASSESSED</x:v>
      </x:c>
      <x:c r="G12" t="str">
        <x:v>UNASSESSED</x:v>
      </x:c>
      <x:c r="H12" t="str">
        <x:v>UNASSESSED</x:v>
      </x:c>
      <x:c r="I12" t="str">
        <x:v>UNASSESSED</x:v>
      </x:c>
      <x:c r="J12" t="str">
        <x:v>NEED MORE EVIDENCE</x:v>
      </x:c>
      <x:c r="K12" t="str"/>
    </x:row>
    <x:row r="13">
      <x:c r="A13" t="str">
        <x:v>SHD-012</x:v>
      </x:c>
      <x:c r="B13" t="str">
        <x:v>HISTORICAL COMPARISON</x:v>
      </x:c>
      <x:c r="C13" t="str">
        <x:v>UNASSESSED</x:v>
      </x:c>
      <x:c r="D13" t="str">
        <x:v>UNASSESSED</x:v>
      </x:c>
      <x:c r="E13" t="str">
        <x:v>UNASSESSED</x:v>
      </x:c>
      <x:c r="F13" t="str">
        <x:v>UNASSESSED</x:v>
      </x:c>
      <x:c r="G13" t="str">
        <x:v>UNASSESSED</x:v>
      </x:c>
      <x:c r="H13" t="str">
        <x:v>UNASSESSED</x:v>
      </x:c>
      <x:c r="I13" t="str">
        <x:v>UNASSESSED</x:v>
      </x:c>
      <x:c r="J13" t="str">
        <x:v>NEED MORE EVIDENCE</x:v>
      </x:c>
      <x:c r="K13" t="str"/>
    </x:row>
    <x:row r="14">
      <x:c r="A14" t="str">
        <x:v>SHD-013</x:v>
      </x:c>
      <x:c r="B14" t="str">
        <x:v>HISTORICAL COMPARISON</x:v>
      </x:c>
      <x:c r="C14" t="str">
        <x:v>UNASSESSED</x:v>
      </x:c>
      <x:c r="D14" t="str">
        <x:v>UNASSESSED</x:v>
      </x:c>
      <x:c r="E14" t="str">
        <x:v>UNASSESSED</x:v>
      </x:c>
      <x:c r="F14" t="str">
        <x:v>UNASSESSED</x:v>
      </x:c>
      <x:c r="G14" t="str">
        <x:v>UNASSESSED</x:v>
      </x:c>
      <x:c r="H14" t="str">
        <x:v>UNASSESSED</x:v>
      </x:c>
      <x:c r="I14" t="str">
        <x:v>UNASSESSED</x:v>
      </x:c>
      <x:c r="J14" t="str">
        <x:v>NEED MORE EVIDENCE</x:v>
      </x:c>
      <x:c r="K14" t="str"/>
    </x:row>
    <x:row r="15">
      <x:c r="A15" t="str">
        <x:v>SHD-014</x:v>
      </x:c>
      <x:c r="B15" t="str">
        <x:v>HISTORICAL COMPARISON</x:v>
      </x:c>
      <x:c r="C15" t="str">
        <x:v>UNASSESSED</x:v>
      </x:c>
      <x:c r="D15" t="str">
        <x:v>UNASSESSED</x:v>
      </x:c>
      <x:c r="E15" t="str">
        <x:v>UNASSESSED</x:v>
      </x:c>
      <x:c r="F15" t="str">
        <x:v>UNASSESSED</x:v>
      </x:c>
      <x:c r="G15" t="str">
        <x:v>UNASSESSED</x:v>
      </x:c>
      <x:c r="H15" t="str">
        <x:v>UNASSESSED</x:v>
      </x:c>
      <x:c r="I15" t="str">
        <x:v>UNASSESSED</x:v>
      </x:c>
      <x:c r="J15" t="str">
        <x:v>NEED MORE EVIDENCE</x:v>
      </x:c>
      <x:c r="K15" t="str"/>
    </x:row>
    <x:row r="16">
      <x:c r="A16" t="str">
        <x:v>SHD-015</x:v>
      </x:c>
      <x:c r="B16" t="str">
        <x:v>HISTORICAL COMPARISON</x:v>
      </x:c>
      <x:c r="C16" t="str">
        <x:v>UNASSESSED</x:v>
      </x:c>
      <x:c r="D16" t="str">
        <x:v>UNASSESSED</x:v>
      </x:c>
      <x:c r="E16" t="str">
        <x:v>UNASSESSED</x:v>
      </x:c>
      <x:c r="F16" t="str">
        <x:v>UNASSESSED</x:v>
      </x:c>
      <x:c r="G16" t="str">
        <x:v>UNASSESSED</x:v>
      </x:c>
      <x:c r="H16" t="str">
        <x:v>UNASSESSED</x:v>
      </x:c>
      <x:c r="I16" t="str">
        <x:v>UNASSESSED</x:v>
      </x:c>
      <x:c r="J16" t="str">
        <x:v>NEED MORE EVIDENCE</x:v>
      </x:c>
      <x:c r="K16" t="str"/>
    </x:row>
    <x:row r="17">
      <x:c r="A17" t="str">
        <x:v>SHD-016</x:v>
      </x:c>
      <x:c r="B17" t="str">
        <x:v>HISTORICAL COMPARISON</x:v>
      </x:c>
      <x:c r="C17" t="str">
        <x:v>UNASSESSED</x:v>
      </x:c>
      <x:c r="D17" t="str">
        <x:v>UNASSESSED</x:v>
      </x:c>
      <x:c r="E17" t="str">
        <x:v>UNASSESSED</x:v>
      </x:c>
      <x:c r="F17" t="str">
        <x:v>UNASSESSED</x:v>
      </x:c>
      <x:c r="G17" t="str">
        <x:v>UNASSESSED</x:v>
      </x:c>
      <x:c r="H17" t="str">
        <x:v>UNASSESSED</x:v>
      </x:c>
      <x:c r="I17" t="str">
        <x:v>UNASSESSED</x:v>
      </x:c>
      <x:c r="J17" t="str">
        <x:v>NEED MORE EVIDENCE</x:v>
      </x:c>
      <x:c r="K17" t="str"/>
    </x:row>
    <x:row r="18">
      <x:c r="A18" t="str">
        <x:v>SHD-017</x:v>
      </x:c>
      <x:c r="B18" t="str">
        <x:v>WATCH</x:v>
      </x:c>
      <x:c r="C18" t="str">
        <x:v>UNASSESSED</x:v>
      </x:c>
      <x:c r="D18" t="str">
        <x:v>UNASSESSED</x:v>
      </x:c>
      <x:c r="E18" t="str">
        <x:v>UNASSESSED</x:v>
      </x:c>
      <x:c r="F18" t="str">
        <x:v>UNASSESSED</x:v>
      </x:c>
      <x:c r="G18" t="str">
        <x:v>UNASSESSED</x:v>
      </x:c>
      <x:c r="H18" t="str">
        <x:v>UNASSESSED</x:v>
      </x:c>
      <x:c r="I18" t="str">
        <x:v>UNASSESSED</x:v>
      </x:c>
      <x:c r="J18" t="str">
        <x:v>NEED MORE EVIDENCE</x:v>
      </x:c>
      <x:c r="K18" t="str"/>
    </x:row>
    <x:row r="19">
      <x:c r="A19" t="str">
        <x:v>SHD-018</x:v>
      </x:c>
      <x:c r="B19" t="str">
        <x:v>WATCH</x:v>
      </x:c>
      <x:c r="C19" t="str">
        <x:v>UNASSESSED</x:v>
      </x:c>
      <x:c r="D19" t="str">
        <x:v>UNASSESSED</x:v>
      </x:c>
      <x:c r="E19" t="str">
        <x:v>UNASSESSED</x:v>
      </x:c>
      <x:c r="F19" t="str">
        <x:v>UNASSESSED</x:v>
      </x:c>
      <x:c r="G19" t="str">
        <x:v>UNASSESSED</x:v>
      </x:c>
      <x:c r="H19" t="str">
        <x:v>UNASSESSED</x:v>
      </x:c>
      <x:c r="I19" t="str">
        <x:v>UNASSESSED</x:v>
      </x:c>
      <x:c r="J19" t="str">
        <x:v>NEED MORE EVIDENCE</x:v>
      </x:c>
      <x:c r="K19" t="str"/>
    </x:row>
    <x:row r="20">
      <x:c r="A20" t="str">
        <x:v>SHD-019</x:v>
      </x:c>
      <x:c r="B20" t="str">
        <x:v>WATCH</x:v>
      </x:c>
      <x:c r="C20" t="str">
        <x:v>UNASSESSED</x:v>
      </x:c>
      <x:c r="D20" t="str">
        <x:v>UNASSESSED</x:v>
      </x:c>
      <x:c r="E20" t="str">
        <x:v>UNASSESSED</x:v>
      </x:c>
      <x:c r="F20" t="str">
        <x:v>UNASSESSED</x:v>
      </x:c>
      <x:c r="G20" t="str">
        <x:v>UNASSESSED</x:v>
      </x:c>
      <x:c r="H20" t="str">
        <x:v>UNASSESSED</x:v>
      </x:c>
      <x:c r="I20" t="str">
        <x:v>UNASSESSED</x:v>
      </x:c>
      <x:c r="J20" t="str">
        <x:v>NEED MORE EVIDENCE</x:v>
      </x:c>
      <x:c r="K20" t="str"/>
    </x:row>
    <x:row r="21">
      <x:c r="A21" t="str">
        <x:v>SHD-020</x:v>
      </x:c>
      <x:c r="B21" t="str">
        <x:v>WATCH</x:v>
      </x:c>
      <x:c r="C21" t="str">
        <x:v>UNASSESSED</x:v>
      </x:c>
      <x:c r="D21" t="str">
        <x:v>UNASSESSED</x:v>
      </x:c>
      <x:c r="E21" t="str">
        <x:v>UNASSESSED</x:v>
      </x:c>
      <x:c r="F21" t="str">
        <x:v>UNASSESSED</x:v>
      </x:c>
      <x:c r="G21" t="str">
        <x:v>UNASSESSED</x:v>
      </x:c>
      <x:c r="H21" t="str">
        <x:v>UNASSESSED</x:v>
      </x:c>
      <x:c r="I21" t="str">
        <x:v>UNASSESSED</x:v>
      </x:c>
      <x:c r="J21" t="str">
        <x:v>NEED MORE EVIDENCE</x:v>
      </x:c>
      <x:c r="K21" t="str"/>
    </x:row>
    <x:row r="22">
      <x:c r="A22" t="str">
        <x:v>SHD-021</x:v>
      </x:c>
      <x:c r="B22" t="str">
        <x:v>WATCH</x:v>
      </x:c>
      <x:c r="C22" t="str">
        <x:v>UNASSESSED</x:v>
      </x:c>
      <x:c r="D22" t="str">
        <x:v>UNASSESSED</x:v>
      </x:c>
      <x:c r="E22" t="str">
        <x:v>UNASSESSED</x:v>
      </x:c>
      <x:c r="F22" t="str">
        <x:v>UNASSESSED</x:v>
      </x:c>
      <x:c r="G22" t="str">
        <x:v>UNASSESSED</x:v>
      </x:c>
      <x:c r="H22" t="str">
        <x:v>UNASSESSED</x:v>
      </x:c>
      <x:c r="I22" t="str">
        <x:v>UNASSESSED</x:v>
      </x:c>
      <x:c r="J22" t="str">
        <x:v>NEED MORE EVIDENCE</x:v>
      </x:c>
      <x:c r="K22" t="str"/>
    </x:row>
    <x:row r="23">
      <x:c r="A23" t="str">
        <x:v>SHD-022</x:v>
      </x:c>
      <x:c r="B23" t="str">
        <x:v>WATCH</x:v>
      </x:c>
      <x:c r="C23" t="str">
        <x:v>UNASSESSED</x:v>
      </x:c>
      <x:c r="D23" t="str">
        <x:v>UNASSESSED</x:v>
      </x:c>
      <x:c r="E23" t="str">
        <x:v>UNASSESSED</x:v>
      </x:c>
      <x:c r="F23" t="str">
        <x:v>UNASSESSED</x:v>
      </x:c>
      <x:c r="G23" t="str">
        <x:v>UNASSESSED</x:v>
      </x:c>
      <x:c r="H23" t="str">
        <x:v>UNASSESSED</x:v>
      </x:c>
      <x:c r="I23" t="str">
        <x:v>UNASSESSED</x:v>
      </x:c>
      <x:c r="J23" t="str">
        <x:v>NEED MORE EVIDENCE</x:v>
      </x:c>
      <x:c r="K23" t="str"/>
    </x:row>
    <x:row r="24">
      <x:c r="A24" t="str">
        <x:v>SHD-023</x:v>
      </x:c>
      <x:c r="B24" t="str">
        <x:v>WATCH</x:v>
      </x:c>
      <x:c r="C24" t="str">
        <x:v>UNASSESSED</x:v>
      </x:c>
      <x:c r="D24" t="str">
        <x:v>UNASSESSED</x:v>
      </x:c>
      <x:c r="E24" t="str">
        <x:v>UNASSESSED</x:v>
      </x:c>
      <x:c r="F24" t="str">
        <x:v>UNASSESSED</x:v>
      </x:c>
      <x:c r="G24" t="str">
        <x:v>UNASSESSED</x:v>
      </x:c>
      <x:c r="H24" t="str">
        <x:v>UNASSESSED</x:v>
      </x:c>
      <x:c r="I24" t="str">
        <x:v>UNASSESSED</x:v>
      </x:c>
      <x:c r="J24" t="str">
        <x:v>NEED MORE EVIDENCE</x:v>
      </x:c>
      <x:c r="K24" t="str"/>
    </x:row>
    <x:row r="25">
      <x:c r="A25" t="str">
        <x:v>SHD-024</x:v>
      </x:c>
      <x:c r="B25" t="str">
        <x:v>WATCH</x:v>
      </x:c>
      <x:c r="C25" t="str">
        <x:v>UNASSESSED</x:v>
      </x:c>
      <x:c r="D25" t="str">
        <x:v>UNASSESSED</x:v>
      </x:c>
      <x:c r="E25" t="str">
        <x:v>UNASSESSED</x:v>
      </x:c>
      <x:c r="F25" t="str">
        <x:v>UNASSESSED</x:v>
      </x:c>
      <x:c r="G25" t="str">
        <x:v>UNASSESSED</x:v>
      </x:c>
      <x:c r="H25" t="str">
        <x:v>UNASSESSED</x:v>
      </x:c>
      <x:c r="I25" t="str">
        <x:v>UNASSESSED</x:v>
      </x:c>
      <x:c r="J25" t="str">
        <x:v>NEED MORE EVIDENCE</x:v>
      </x:c>
      <x:c r="K25" t="str"/>
    </x:row>
    <x:row r="26">
      <x:c r="A26" t="str">
        <x:v>SHD-025</x:v>
      </x:c>
      <x:c r="B26" t="str">
        <x:v>WATCH</x:v>
      </x:c>
      <x:c r="C26" t="str">
        <x:v>UNASSESSED</x:v>
      </x:c>
      <x:c r="D26" t="str">
        <x:v>UNASSESSED</x:v>
      </x:c>
      <x:c r="E26" t="str">
        <x:v>UNASSESSED</x:v>
      </x:c>
      <x:c r="F26" t="str">
        <x:v>UNASSESSED</x:v>
      </x:c>
      <x:c r="G26" t="str">
        <x:v>UNASSESSED</x:v>
      </x:c>
      <x:c r="H26" t="str">
        <x:v>UNASSESSED</x:v>
      </x:c>
      <x:c r="I26" t="str">
        <x:v>UNASSESSED</x:v>
      </x:c>
      <x:c r="J26" t="str">
        <x:v>NEED MORE EVIDENCE</x:v>
      </x:c>
      <x:c r="K26" t="str"/>
    </x:row>
    <x:row r="27">
      <x:c r="A27" t="str">
        <x:v>SHD-026</x:v>
      </x:c>
      <x:c r="B27" t="str">
        <x:v>WATCH</x:v>
      </x:c>
      <x:c r="C27" t="str">
        <x:v>UNASSESSED</x:v>
      </x:c>
      <x:c r="D27" t="str">
        <x:v>UNASSESSED</x:v>
      </x:c>
      <x:c r="E27" t="str">
        <x:v>UNASSESSED</x:v>
      </x:c>
      <x:c r="F27" t="str">
        <x:v>UNASSESSED</x:v>
      </x:c>
      <x:c r="G27" t="str">
        <x:v>UNASSESSED</x:v>
      </x:c>
      <x:c r="H27" t="str">
        <x:v>UNASSESSED</x:v>
      </x:c>
      <x:c r="I27" t="str">
        <x:v>UNASSESSED</x:v>
      </x:c>
      <x:c r="J27" t="str">
        <x:v>NEED MORE EVIDENCE</x:v>
      </x:c>
      <x:c r="K27" t="str"/>
    </x:row>
    <x:row r="28">
      <x:c r="A28" t="str">
        <x:v>SHD-027</x:v>
      </x:c>
      <x:c r="B28" t="str">
        <x:v>WATCH</x:v>
      </x:c>
      <x:c r="C28" t="str">
        <x:v>UNASSESSED</x:v>
      </x:c>
      <x:c r="D28" t="str">
        <x:v>UNASSESSED</x:v>
      </x:c>
      <x:c r="E28" t="str">
        <x:v>UNASSESSED</x:v>
      </x:c>
      <x:c r="F28" t="str">
        <x:v>UNASSESSED</x:v>
      </x:c>
      <x:c r="G28" t="str">
        <x:v>UNASSESSED</x:v>
      </x:c>
      <x:c r="H28" t="str">
        <x:v>UNASSESSED</x:v>
      </x:c>
      <x:c r="I28" t="str">
        <x:v>UNASSESSED</x:v>
      </x:c>
      <x:c r="J28" t="str">
        <x:v>NEED MORE EVIDENCE</x:v>
      </x:c>
      <x:c r="K28" t="str"/>
    </x:row>
    <x:row r="29">
      <x:c r="A29" t="str">
        <x:v>SHD-028</x:v>
      </x:c>
      <x:c r="B29" t="str">
        <x:v>WATCH</x:v>
      </x:c>
      <x:c r="C29" t="str">
        <x:v>UNASSESSED</x:v>
      </x:c>
      <x:c r="D29" t="str">
        <x:v>UNASSESSED</x:v>
      </x:c>
      <x:c r="E29" t="str">
        <x:v>UNASSESSED</x:v>
      </x:c>
      <x:c r="F29" t="str">
        <x:v>UNASSESSED</x:v>
      </x:c>
      <x:c r="G29" t="str">
        <x:v>UNASSESSED</x:v>
      </x:c>
      <x:c r="H29" t="str">
        <x:v>UNASSESSED</x:v>
      </x:c>
      <x:c r="I29" t="str">
        <x:v>UNASSESSED</x:v>
      </x:c>
      <x:c r="J29" t="str">
        <x:v>NEED MORE EVIDENCE</x:v>
      </x:c>
      <x:c r="K29" t="str"/>
    </x:row>
    <x:row r="30">
      <x:c r="A30" t="str">
        <x:v>SHD-029</x:v>
      </x:c>
      <x:c r="B30" t="str">
        <x:v>UNDER REVIEW</x:v>
      </x:c>
      <x:c r="C30" t="str">
        <x:v>UNASSESSED</x:v>
      </x:c>
      <x:c r="D30" t="str">
        <x:v>UNASSESSED</x:v>
      </x:c>
      <x:c r="E30" t="str">
        <x:v>UNASSESSED</x:v>
      </x:c>
      <x:c r="F30" t="str">
        <x:v>UNASSESSED</x:v>
      </x:c>
      <x:c r="G30" t="str">
        <x:v>UNASSESSED</x:v>
      </x:c>
      <x:c r="H30" t="str">
        <x:v>UNASSESSED</x:v>
      </x:c>
      <x:c r="I30" t="str">
        <x:v>UNASSESSED</x:v>
      </x:c>
      <x:c r="J30" t="str">
        <x:v>NEED MORE EVIDENCE</x:v>
      </x:c>
      <x:c r="K30" t="str"/>
    </x:row>
    <x:row r="31">
      <x:c r="A31" t="str">
        <x:v>SHD-030</x:v>
      </x:c>
      <x:c r="B31" t="str">
        <x:v>WATCH</x:v>
      </x:c>
      <x:c r="C31" t="str">
        <x:v>UNASSESSED</x:v>
      </x:c>
      <x:c r="D31" t="str">
        <x:v>UNASSESSED</x:v>
      </x:c>
      <x:c r="E31" t="str">
        <x:v>UNASSESSED</x:v>
      </x:c>
      <x:c r="F31" t="str">
        <x:v>UNASSESSED</x:v>
      </x:c>
      <x:c r="G31" t="str">
        <x:v>UNASSESSED</x:v>
      </x:c>
      <x:c r="H31" t="str">
        <x:v>UNASSESSED</x:v>
      </x:c>
      <x:c r="I31" t="str">
        <x:v>UNASSESSED</x:v>
      </x:c>
      <x:c r="J31" t="str">
        <x:v>NEED MORE EVIDENCE</x:v>
      </x:c>
      <x:c r="K31" t="str"/>
    </x:row>
    <x:row r="32">
      <x:c r="A32" t="str">
        <x:v>SHD-031</x:v>
      </x:c>
      <x:c r="B32" t="str">
        <x:v>WATCH</x:v>
      </x:c>
      <x:c r="C32" t="str">
        <x:v>UNASSESSED</x:v>
      </x:c>
      <x:c r="D32" t="str">
        <x:v>UNASSESSED</x:v>
      </x:c>
      <x:c r="E32" t="str">
        <x:v>UNASSESSED</x:v>
      </x:c>
      <x:c r="F32" t="str">
        <x:v>UNASSESSED</x:v>
      </x:c>
      <x:c r="G32" t="str">
        <x:v>UNASSESSED</x:v>
      </x:c>
      <x:c r="H32" t="str">
        <x:v>UNASSESSED</x:v>
      </x:c>
      <x:c r="I32" t="str">
        <x:v>UNASSESSED</x:v>
      </x:c>
      <x:c r="J32" t="str">
        <x:v>NEED MORE EVIDENCE</x:v>
      </x:c>
      <x:c r="K32" t="str"/>
    </x:row>
    <x:row r="33">
      <x:c r="A33" t="str">
        <x:v>SHD-032</x:v>
      </x:c>
      <x:c r="B33" t="str">
        <x:v>WATCH</x:v>
      </x:c>
      <x:c r="C33" t="str">
        <x:v>UNASSESSED</x:v>
      </x:c>
      <x:c r="D33" t="str">
        <x:v>UNASSESSED</x:v>
      </x:c>
      <x:c r="E33" t="str">
        <x:v>UNASSESSED</x:v>
      </x:c>
      <x:c r="F33" t="str">
        <x:v>UNASSESSED</x:v>
      </x:c>
      <x:c r="G33" t="str">
        <x:v>UNASSESSED</x:v>
      </x:c>
      <x:c r="H33" t="str">
        <x:v>UNASSESSED</x:v>
      </x:c>
      <x:c r="I33" t="str">
        <x:v>UNASSESSED</x:v>
      </x:c>
      <x:c r="J33" t="str">
        <x:v>NEED MORE EVIDENCE</x:v>
      </x:c>
      <x:c r="K33" t="str"/>
    </x:row>
    <x:row r="34">
      <x:c r="A34" t="str">
        <x:v>SHD-033</x:v>
      </x:c>
      <x:c r="B34" t="str">
        <x:v>WATCH</x:v>
      </x:c>
      <x:c r="C34" t="str">
        <x:v>UNASSESSED</x:v>
      </x:c>
      <x:c r="D34" t="str">
        <x:v>UNASSESSED</x:v>
      </x:c>
      <x:c r="E34" t="str">
        <x:v>UNASSESSED</x:v>
      </x:c>
      <x:c r="F34" t="str">
        <x:v>UNASSESSED</x:v>
      </x:c>
      <x:c r="G34" t="str">
        <x:v>UNASSESSED</x:v>
      </x:c>
      <x:c r="H34" t="str">
        <x:v>UNASSESSED</x:v>
      </x:c>
      <x:c r="I34" t="str">
        <x:v>UNASSESSED</x:v>
      </x:c>
      <x:c r="J34" t="str">
        <x:v>NEED MORE EVIDENCE</x:v>
      </x:c>
      <x:c r="K34" t="str"/>
    </x:row>
    <x:row r="35">
      <x:c r="A35" t="str">
        <x:v>SHD-034</x:v>
      </x:c>
      <x:c r="B35" t="str">
        <x:v>WATCH</x:v>
      </x:c>
      <x:c r="C35" t="str">
        <x:v>UNASSESSED</x:v>
      </x:c>
      <x:c r="D35" t="str">
        <x:v>UNASSESSED</x:v>
      </x:c>
      <x:c r="E35" t="str">
        <x:v>UNASSESSED</x:v>
      </x:c>
      <x:c r="F35" t="str">
        <x:v>UNASSESSED</x:v>
      </x:c>
      <x:c r="G35" t="str">
        <x:v>UNASSESSED</x:v>
      </x:c>
      <x:c r="H35" t="str">
        <x:v>UNASSESSED</x:v>
      </x:c>
      <x:c r="I35" t="str">
        <x:v>UNASSESSED</x:v>
      </x:c>
      <x:c r="J35" t="str">
        <x:v>NEED MORE EVIDENCE</x:v>
      </x:c>
      <x:c r="K35" t="str"/>
    </x:row>
    <x:row r="36">
      <x:c r="A36" t="str">
        <x:v>SHD-035</x:v>
      </x:c>
      <x:c r="B36" t="str">
        <x:v>WATCH</x:v>
      </x:c>
      <x:c r="C36" t="str">
        <x:v>UNASSESSED</x:v>
      </x:c>
      <x:c r="D36" t="str">
        <x:v>UNASSESSED</x:v>
      </x:c>
      <x:c r="E36" t="str">
        <x:v>UNASSESSED</x:v>
      </x:c>
      <x:c r="F36" t="str">
        <x:v>UNASSESSED</x:v>
      </x:c>
      <x:c r="G36" t="str">
        <x:v>UNASSESSED</x:v>
      </x:c>
      <x:c r="H36" t="str">
        <x:v>UNASSESSED</x:v>
      </x:c>
      <x:c r="I36" t="str">
        <x:v>UNASSESSED</x:v>
      </x:c>
      <x:c r="J36" t="str">
        <x:v>NEED MORE EVIDENCE</x:v>
      </x:c>
      <x:c r="K36" t="str"/>
    </x:row>
    <x:row r="37">
      <x:c r="A37" t="str">
        <x:v>SHD-036</x:v>
      </x:c>
      <x:c r="B37" t="str">
        <x:v>WATCH</x:v>
      </x:c>
      <x:c r="C37" t="str">
        <x:v>UNASSESSED</x:v>
      </x:c>
      <x:c r="D37" t="str">
        <x:v>UNASSESSED</x:v>
      </x:c>
      <x:c r="E37" t="str">
        <x:v>UNASSESSED</x:v>
      </x:c>
      <x:c r="F37" t="str">
        <x:v>UNASSESSED</x:v>
      </x:c>
      <x:c r="G37" t="str">
        <x:v>UNASSESSED</x:v>
      </x:c>
      <x:c r="H37" t="str">
        <x:v>UNASSESSED</x:v>
      </x:c>
      <x:c r="I37" t="str">
        <x:v>UNASSESSED</x:v>
      </x:c>
      <x:c r="J37" t="str">
        <x:v>NEED MORE EVIDENCE</x:v>
      </x:c>
      <x:c r="K37" t="str"/>
    </x:row>
  </x:sheetData>
  <x:pageMargins left="0.7" right="0.7" top="0.75" bottom="0.75" header="0.3" footer="0.3"/>
  <x:tableParts count="1">
    <x:tablePart xmlns:r="http://schemas.openxmlformats.org/officeDocument/2006/relationships" r:id="R1500480979014b7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42" hidden="0" customWidth="1"/>
    <x:col min="5" max="5" width="68" hidden="0" customWidth="1"/>
    <x:col min="6" max="6" width="24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12" hidden="0" customWidth="1"/>
    <x:col min="12" max="12" width="24" hidden="0" customWidth="1"/>
    <x:col min="13" max="13" width="24" hidden="0" customWidth="1"/>
    <x:col min="14" max="14" width="52" hidden="0" customWidth="1"/>
  </x:cols>
  <x:sheetData>
    <x:row r="1" ht="30" customHeight="1">
      <x:c r="A1" s="18" t="str">
        <x:v>Source_ID</x:v>
      </x:c>
      <x:c r="B1" s="18" t="str">
        <x:v>Asset_ID</x:v>
      </x:c>
      <x:c r="C1" s="18" t="str">
        <x:v>Claim_Type</x:v>
      </x:c>
      <x:c r="D1" s="18" t="str">
        <x:v>Source_Description</x:v>
      </x:c>
      <x:c r="E1" s="18" t="str">
        <x:v>Source_URL</x:v>
      </x:c>
      <x:c r="F1" s="18" t="str">
        <x:v>Source_Type</x:v>
      </x:c>
      <x:c r="G1" s="18" t="str">
        <x:v>Jurisdiction</x:v>
      </x:c>
      <x:c r="H1" s="18" t="str">
        <x:v>Observed_Date</x:v>
      </x:c>
      <x:c r="I1" s="18" t="str">
        <x:v>Effective_Date</x:v>
      </x:c>
      <x:c r="J1" s="18" t="str">
        <x:v>Evidence_State</x:v>
      </x:c>
      <x:c r="K1" s="18" t="str">
        <x:v>Confidence</x:v>
      </x:c>
      <x:c r="L1" s="18" t="str">
        <x:v>Contributor</x:v>
      </x:c>
      <x:c r="M1" s="18" t="str">
        <x:v>Reviewer</x:v>
      </x:c>
      <x:c r="N1" s="18" t="str">
        <x:v>Notes</x:v>
      </x:c>
    </x:row>
    <x:row r="2">
      <x:c r="A2" t="str">
        <x:v>SRC-0001</x:v>
      </x:c>
      <x:c r="B2" t="str">
        <x:v>SHD-001</x:v>
      </x:c>
      <x:c r="C2" t="str">
        <x:v>research lead</x:v>
      </x:c>
      <x:c r="D2" t="str">
        <x:v>Prior SHADOW research lead — source URL still needs capture in dataset</x:v>
      </x:c>
      <x:c r="E2" t="str"/>
      <x:c r="F2" t="str">
        <x:v>REVALIDATION REQUIRED</x:v>
      </x:c>
      <x:c r="G2" t="str"/>
      <x:c r="H2" t="str">
        <x:v>2026-09-20</x:v>
      </x:c>
      <x:c r="I2"/>
      <x:c r="J2" t="str">
        <x:v>SUBMITTED</x:v>
      </x:c>
      <x:c r="K2" t="str">
        <x:v>A</x:v>
      </x:c>
      <x:c r="L2" t="str">
        <x:v>Initial SHADOW research</x:v>
      </x:c>
      <x:c r="M2" t="str"/>
      <x:c r="N2" t="str">
        <x:v>Do not treat as canonical evidence until source document/URL is attached.</x:v>
      </x:c>
    </x:row>
    <x:row r="3">
      <x:c r="A3" t="str">
        <x:v>SRC-0002</x:v>
      </x:c>
      <x:c r="B3" t="str">
        <x:v>SHD-002</x:v>
      </x:c>
      <x:c r="C3" t="str">
        <x:v>research lead</x:v>
      </x:c>
      <x:c r="D3" t="str">
        <x:v>Prior SHADOW research lead — source URL still needs capture in dataset</x:v>
      </x:c>
      <x:c r="E3" t="str"/>
      <x:c r="F3" t="str">
        <x:v>REVALIDATION REQUIRED</x:v>
      </x:c>
      <x:c r="G3" t="str"/>
      <x:c r="H3" t="str">
        <x:v>2026-09-20</x:v>
      </x:c>
      <x:c r="I3"/>
      <x:c r="J3" t="str">
        <x:v>SUBMITTED</x:v>
      </x:c>
      <x:c r="K3" t="str">
        <x:v>A</x:v>
      </x:c>
      <x:c r="L3" t="str">
        <x:v>Initial SHADOW research</x:v>
      </x:c>
      <x:c r="M3" t="str"/>
      <x:c r="N3" t="str">
        <x:v>Do not treat as canonical evidence until source document/URL is attached.</x:v>
      </x:c>
    </x:row>
    <x:row r="4">
      <x:c r="A4" t="str">
        <x:v>SRC-0003</x:v>
      </x:c>
      <x:c r="B4" t="str">
        <x:v>SHD-003</x:v>
      </x:c>
      <x:c r="C4" t="str">
        <x:v>research lead</x:v>
      </x:c>
      <x:c r="D4" t="str">
        <x:v>Prior SHADOW research lead — source URL still needs capture in dataset</x:v>
      </x:c>
      <x:c r="E4" t="str"/>
      <x:c r="F4" t="str">
        <x:v>REVALIDATION REQUIRED</x:v>
      </x:c>
      <x:c r="G4" t="str"/>
      <x:c r="H4" t="str">
        <x:v>2026-09-20</x:v>
      </x:c>
      <x:c r="I4"/>
      <x:c r="J4" t="str">
        <x:v>SUBMITTED</x:v>
      </x:c>
      <x:c r="K4" t="str">
        <x:v>B</x:v>
      </x:c>
      <x:c r="L4" t="str">
        <x:v>Initial SHADOW research</x:v>
      </x:c>
      <x:c r="M4" t="str"/>
      <x:c r="N4" t="str">
        <x:v>Do not treat as canonical evidence until source document/URL is attached.</x:v>
      </x:c>
    </x:row>
    <x:row r="5">
      <x:c r="A5" t="str">
        <x:v>SRC-0004</x:v>
      </x:c>
      <x:c r="B5" t="str">
        <x:v>SHD-004</x:v>
      </x:c>
      <x:c r="C5" t="str">
        <x:v>research lead</x:v>
      </x:c>
      <x:c r="D5" t="str">
        <x:v>Prior SHADOW research lead — source URL still needs capture in dataset</x:v>
      </x:c>
      <x:c r="E5" t="str"/>
      <x:c r="F5" t="str">
        <x:v>REVALIDATION REQUIRED</x:v>
      </x:c>
      <x:c r="G5" t="str"/>
      <x:c r="H5" t="str">
        <x:v>2026-09-20</x:v>
      </x:c>
      <x:c r="I5"/>
      <x:c r="J5" t="str">
        <x:v>SUBMITTED</x:v>
      </x:c>
      <x:c r="K5" t="str">
        <x:v>A</x:v>
      </x:c>
      <x:c r="L5" t="str">
        <x:v>Initial SHADOW research</x:v>
      </x:c>
      <x:c r="M5" t="str"/>
      <x:c r="N5" t="str">
        <x:v>Do not treat as canonical evidence until source document/URL is attached.</x:v>
      </x:c>
    </x:row>
    <x:row r="6">
      <x:c r="A6" t="str">
        <x:v>SRC-0005</x:v>
      </x:c>
      <x:c r="B6" t="str">
        <x:v>SHD-005</x:v>
      </x:c>
      <x:c r="C6" t="str">
        <x:v>research lead</x:v>
      </x:c>
      <x:c r="D6" t="str">
        <x:v>Prior SHADOW research lead — source URL still needs capture in dataset</x:v>
      </x:c>
      <x:c r="E6" t="str"/>
      <x:c r="F6" t="str">
        <x:v>REVALIDATION REQUIRED</x:v>
      </x:c>
      <x:c r="G6" t="str"/>
      <x:c r="H6" t="str">
        <x:v>2026-09-20</x:v>
      </x:c>
      <x:c r="I6"/>
      <x:c r="J6" t="str">
        <x:v>SUBMITTED</x:v>
      </x:c>
      <x:c r="K6" t="str">
        <x:v>A</x:v>
      </x:c>
      <x:c r="L6" t="str">
        <x:v>Initial SHADOW research</x:v>
      </x:c>
      <x:c r="M6" t="str"/>
      <x:c r="N6" t="str">
        <x:v>Do not treat as canonical evidence until source document/URL is attached.</x:v>
      </x:c>
    </x:row>
    <x:row r="7">
      <x:c r="A7" t="str">
        <x:v>SRC-0006</x:v>
      </x:c>
      <x:c r="B7" t="str">
        <x:v>SHD-006</x:v>
      </x:c>
      <x:c r="C7" t="str">
        <x:v>research lead</x:v>
      </x:c>
      <x:c r="D7" t="str">
        <x:v>Prior SHADOW research lead — source URL still needs capture in dataset</x:v>
      </x:c>
      <x:c r="E7" t="str"/>
      <x:c r="F7" t="str">
        <x:v>REVALIDATION REQUIRED</x:v>
      </x:c>
      <x:c r="G7" t="str"/>
      <x:c r="H7" t="str">
        <x:v>2026-09-20</x:v>
      </x:c>
      <x:c r="I7"/>
      <x:c r="J7" t="str">
        <x:v>SUBMITTED</x:v>
      </x:c>
      <x:c r="K7" t="str">
        <x:v>B</x:v>
      </x:c>
      <x:c r="L7" t="str">
        <x:v>Initial SHADOW research</x:v>
      </x:c>
      <x:c r="M7" t="str"/>
      <x:c r="N7" t="str">
        <x:v>Do not treat as canonical evidence until source document/URL is attached.</x:v>
      </x:c>
    </x:row>
    <x:row r="8">
      <x:c r="A8" t="str">
        <x:v>SRC-0007</x:v>
      </x:c>
      <x:c r="B8" t="str">
        <x:v>SHD-007</x:v>
      </x:c>
      <x:c r="C8" t="str">
        <x:v>research lead</x:v>
      </x:c>
      <x:c r="D8" t="str">
        <x:v>Prior SHADOW research lead — source URL still needs capture in dataset</x:v>
      </x:c>
      <x:c r="E8" t="str"/>
      <x:c r="F8" t="str">
        <x:v>REVALIDATION REQUIRED</x:v>
      </x:c>
      <x:c r="G8" t="str"/>
      <x:c r="H8" t="str">
        <x:v>2026-09-20</x:v>
      </x:c>
      <x:c r="I8"/>
      <x:c r="J8" t="str">
        <x:v>SUBMITTED</x:v>
      </x:c>
      <x:c r="K8" t="str">
        <x:v>A</x:v>
      </x:c>
      <x:c r="L8" t="str">
        <x:v>Initial SHADOW research</x:v>
      </x:c>
      <x:c r="M8" t="str"/>
      <x:c r="N8" t="str">
        <x:v>Do not treat as canonical evidence until source document/URL is attached.</x:v>
      </x:c>
    </x:row>
    <x:row r="9">
      <x:c r="A9" t="str">
        <x:v>SRC-0008</x:v>
      </x:c>
      <x:c r="B9" t="str">
        <x:v>SHD-008</x:v>
      </x:c>
      <x:c r="C9" t="str">
        <x:v>research lead</x:v>
      </x:c>
      <x:c r="D9" t="str">
        <x:v>Prior SHADOW research lead — source URL still needs capture in dataset</x:v>
      </x:c>
      <x:c r="E9" t="str"/>
      <x:c r="F9" t="str">
        <x:v>REVALIDATION REQUIRED</x:v>
      </x:c>
      <x:c r="G9" t="str"/>
      <x:c r="H9" t="str">
        <x:v>2026-09-20</x:v>
      </x:c>
      <x:c r="I9"/>
      <x:c r="J9" t="str">
        <x:v>SUBMITTED</x:v>
      </x:c>
      <x:c r="K9" t="str">
        <x:v>A</x:v>
      </x:c>
      <x:c r="L9" t="str">
        <x:v>Initial SHADOW research</x:v>
      </x:c>
      <x:c r="M9" t="str"/>
      <x:c r="N9" t="str">
        <x:v>Do not treat as canonical evidence until source document/URL is attached.</x:v>
      </x:c>
    </x:row>
    <x:row r="10">
      <x:c r="A10" t="str">
        <x:v>SRC-0009</x:v>
      </x:c>
      <x:c r="B10" t="str">
        <x:v>SHD-009</x:v>
      </x:c>
      <x:c r="C10" t="str">
        <x:v>research lead</x:v>
      </x:c>
      <x:c r="D10" t="str">
        <x:v>Prior SHADOW research lead — source URL still needs capture in dataset</x:v>
      </x:c>
      <x:c r="E10" t="str"/>
      <x:c r="F10" t="str">
        <x:v>REVALIDATION REQUIRED</x:v>
      </x:c>
      <x:c r="G10" t="str"/>
      <x:c r="H10" t="str">
        <x:v>2026-09-20</x:v>
      </x:c>
      <x:c r="I10"/>
      <x:c r="J10" t="str">
        <x:v>SUBMITTED</x:v>
      </x:c>
      <x:c r="K10" t="str">
        <x:v>B</x:v>
      </x:c>
      <x:c r="L10" t="str">
        <x:v>Initial SHADOW research</x:v>
      </x:c>
      <x:c r="M10" t="str"/>
      <x:c r="N10" t="str">
        <x:v>Do not treat as canonical evidence until source document/URL is attached.</x:v>
      </x:c>
    </x:row>
    <x:row r="11">
      <x:c r="A11" t="str">
        <x:v>SRC-0010</x:v>
      </x:c>
      <x:c r="B11" t="str">
        <x:v>SHD-010</x:v>
      </x:c>
      <x:c r="C11" t="str">
        <x:v>research lead</x:v>
      </x:c>
      <x:c r="D11" t="str">
        <x:v>Prior SHADOW research lead — source URL still needs capture in dataset</x:v>
      </x:c>
      <x:c r="E11" t="str"/>
      <x:c r="F11" t="str">
        <x:v>REVALIDATION REQUIRED</x:v>
      </x:c>
      <x:c r="G11" t="str"/>
      <x:c r="H11" t="str">
        <x:v>2026-09-20</x:v>
      </x:c>
      <x:c r="I11"/>
      <x:c r="J11" t="str">
        <x:v>SUBMITTED</x:v>
      </x:c>
      <x:c r="K11" t="str">
        <x:v>A</x:v>
      </x:c>
      <x:c r="L11" t="str">
        <x:v>Initial SHADOW research</x:v>
      </x:c>
      <x:c r="M11" t="str"/>
      <x:c r="N11" t="str">
        <x:v>Do not treat as canonical evidence until source document/URL is attached.</x:v>
      </x:c>
    </x:row>
    <x:row r="12">
      <x:c r="A12" t="str">
        <x:v>SRC-0011</x:v>
      </x:c>
      <x:c r="B12" t="str">
        <x:v>SHD-011</x:v>
      </x:c>
      <x:c r="C12" t="str">
        <x:v>research lead</x:v>
      </x:c>
      <x:c r="D12" t="str">
        <x:v>Prior SHADOW research lead — source URL still needs capture in dataset</x:v>
      </x:c>
      <x:c r="E12" t="str"/>
      <x:c r="F12" t="str">
        <x:v>REVALIDATION REQUIRED</x:v>
      </x:c>
      <x:c r="G12" t="str"/>
      <x:c r="H12" t="str">
        <x:v>2026-09-20</x:v>
      </x:c>
      <x:c r="I12"/>
      <x:c r="J12" t="str">
        <x:v>SUBMITTED</x:v>
      </x:c>
      <x:c r="K12" t="str">
        <x:v>A</x:v>
      </x:c>
      <x:c r="L12" t="str">
        <x:v>Initial SHADOW research</x:v>
      </x:c>
      <x:c r="M12" t="str"/>
      <x:c r="N12" t="str">
        <x:v>Do not treat as canonical evidence until source document/URL is attached.</x:v>
      </x:c>
    </x:row>
    <x:row r="13">
      <x:c r="A13" t="str">
        <x:v>SRC-0012</x:v>
      </x:c>
      <x:c r="B13" t="str">
        <x:v>SHD-012</x:v>
      </x:c>
      <x:c r="C13" t="str">
        <x:v>research lead</x:v>
      </x:c>
      <x:c r="D13" t="str">
        <x:v>Prior SHADOW research lead — source URL still needs capture in dataset</x:v>
      </x:c>
      <x:c r="E13" t="str"/>
      <x:c r="F13" t="str">
        <x:v>REVALIDATION REQUIRED</x:v>
      </x:c>
      <x:c r="G13" t="str"/>
      <x:c r="H13" t="str">
        <x:v>2026-09-20</x:v>
      </x:c>
      <x:c r="I13"/>
      <x:c r="J13" t="str">
        <x:v>SUBMITTED</x:v>
      </x:c>
      <x:c r="K13" t="str">
        <x:v>A</x:v>
      </x:c>
      <x:c r="L13" t="str">
        <x:v>Initial SHADOW research</x:v>
      </x:c>
      <x:c r="M13" t="str"/>
      <x:c r="N13" t="str">
        <x:v>Do not treat as canonical evidence until source document/URL is attached.</x:v>
      </x:c>
    </x:row>
    <x:row r="14">
      <x:c r="A14" t="str">
        <x:v>SRC-0013</x:v>
      </x:c>
      <x:c r="B14" t="str">
        <x:v>SHD-013</x:v>
      </x:c>
      <x:c r="C14" t="str">
        <x:v>research lead</x:v>
      </x:c>
      <x:c r="D14" t="str">
        <x:v>Prior SHADOW research lead — source URL still needs capture in dataset</x:v>
      </x:c>
      <x:c r="E14" t="str"/>
      <x:c r="F14" t="str">
        <x:v>REVALIDATION REQUIRED</x:v>
      </x:c>
      <x:c r="G14" t="str"/>
      <x:c r="H14" t="str">
        <x:v>2026-09-20</x:v>
      </x:c>
      <x:c r="I14"/>
      <x:c r="J14" t="str">
        <x:v>SUBMITTED</x:v>
      </x:c>
      <x:c r="K14" t="str">
        <x:v>A</x:v>
      </x:c>
      <x:c r="L14" t="str">
        <x:v>Initial SHADOW research</x:v>
      </x:c>
      <x:c r="M14" t="str"/>
      <x:c r="N14" t="str">
        <x:v>Do not treat as canonical evidence until source document/URL is attached.</x:v>
      </x:c>
    </x:row>
    <x:row r="15">
      <x:c r="A15" t="str">
        <x:v>SRC-0014</x:v>
      </x:c>
      <x:c r="B15" t="str">
        <x:v>SHD-014</x:v>
      </x:c>
      <x:c r="C15" t="str">
        <x:v>research lead</x:v>
      </x:c>
      <x:c r="D15" t="str">
        <x:v>Prior SHADOW research lead — source URL still needs capture in dataset</x:v>
      </x:c>
      <x:c r="E15" t="str"/>
      <x:c r="F15" t="str">
        <x:v>REVALIDATION REQUIRED</x:v>
      </x:c>
      <x:c r="G15" t="str"/>
      <x:c r="H15" t="str">
        <x:v>2026-09-20</x:v>
      </x:c>
      <x:c r="I15"/>
      <x:c r="J15" t="str">
        <x:v>SUBMITTED</x:v>
      </x:c>
      <x:c r="K15" t="str">
        <x:v>A</x:v>
      </x:c>
      <x:c r="L15" t="str">
        <x:v>Initial SHADOW research</x:v>
      </x:c>
      <x:c r="M15" t="str"/>
      <x:c r="N15" t="str">
        <x:v>Do not treat as canonical evidence until source document/URL is attached.</x:v>
      </x:c>
    </x:row>
    <x:row r="16">
      <x:c r="A16" t="str">
        <x:v>SRC-0015</x:v>
      </x:c>
      <x:c r="B16" t="str">
        <x:v>SHD-015</x:v>
      </x:c>
      <x:c r="C16" t="str">
        <x:v>research lead</x:v>
      </x:c>
      <x:c r="D16" t="str">
        <x:v>Prior SHADOW research lead — source URL still needs capture in dataset</x:v>
      </x:c>
      <x:c r="E16" t="str"/>
      <x:c r="F16" t="str">
        <x:v>REVALIDATION REQUIRED</x:v>
      </x:c>
      <x:c r="G16" t="str"/>
      <x:c r="H16" t="str">
        <x:v>2026-09-20</x:v>
      </x:c>
      <x:c r="I16"/>
      <x:c r="J16" t="str">
        <x:v>SUBMITTED</x:v>
      </x:c>
      <x:c r="K16" t="str">
        <x:v>A</x:v>
      </x:c>
      <x:c r="L16" t="str">
        <x:v>Initial SHADOW research</x:v>
      </x:c>
      <x:c r="M16" t="str"/>
      <x:c r="N16" t="str">
        <x:v>Do not treat as canonical evidence until source document/URL is attached.</x:v>
      </x:c>
    </x:row>
    <x:row r="17">
      <x:c r="A17" t="str">
        <x:v>SRC-0016</x:v>
      </x:c>
      <x:c r="B17" t="str">
        <x:v>SHD-016</x:v>
      </x:c>
      <x:c r="C17" t="str">
        <x:v>research lead</x:v>
      </x:c>
      <x:c r="D17" t="str">
        <x:v>Prior SHADOW research lead — source URL still needs capture in dataset</x:v>
      </x:c>
      <x:c r="E17" t="str"/>
      <x:c r="F17" t="str">
        <x:v>REVALIDATION REQUIRED</x:v>
      </x:c>
      <x:c r="G17" t="str"/>
      <x:c r="H17" t="str">
        <x:v>2026-09-20</x:v>
      </x:c>
      <x:c r="I17"/>
      <x:c r="J17" t="str">
        <x:v>SUBMITTED</x:v>
      </x:c>
      <x:c r="K17" t="str">
        <x:v>A</x:v>
      </x:c>
      <x:c r="L17" t="str">
        <x:v>Initial SHADOW research</x:v>
      </x:c>
      <x:c r="M17" t="str"/>
      <x:c r="N17" t="str">
        <x:v>Do not treat as canonical evidence until source document/URL is attached.</x:v>
      </x:c>
    </x:row>
    <x:row r="18">
      <x:c r="A18" t="str">
        <x:v>SRC-0017</x:v>
      </x:c>
      <x:c r="B18" t="str">
        <x:v>SHD-017</x:v>
      </x:c>
      <x:c r="C18" t="str">
        <x:v>research lead</x:v>
      </x:c>
      <x:c r="D18" t="str">
        <x:v>Prior SHADOW research lead — source URL still needs capture in dataset</x:v>
      </x:c>
      <x:c r="E18" t="str"/>
      <x:c r="F18" t="str">
        <x:v>REVALIDATION REQUIRED</x:v>
      </x:c>
      <x:c r="G18" t="str"/>
      <x:c r="H18" t="str">
        <x:v>2026-09-20</x:v>
      </x:c>
      <x:c r="I18"/>
      <x:c r="J18" t="str">
        <x:v>SUBMITTED</x:v>
      </x:c>
      <x:c r="K18" t="str">
        <x:v>C</x:v>
      </x:c>
      <x:c r="L18" t="str">
        <x:v>Initial SHADOW research</x:v>
      </x:c>
      <x:c r="M18" t="str"/>
      <x:c r="N18" t="str">
        <x:v>Do not treat as canonical evidence until source document/URL is attached.</x:v>
      </x:c>
    </x:row>
    <x:row r="19">
      <x:c r="A19" t="str">
        <x:v>SRC-0018</x:v>
      </x:c>
      <x:c r="B19" t="str">
        <x:v>SHD-018</x:v>
      </x:c>
      <x:c r="C19" t="str">
        <x:v>research lead</x:v>
      </x:c>
      <x:c r="D19" t="str">
        <x:v>Prior SHADOW research lead — source URL still needs capture in dataset</x:v>
      </x:c>
      <x:c r="E19" t="str"/>
      <x:c r="F19" t="str">
        <x:v>REVALIDATION REQUIRED</x:v>
      </x:c>
      <x:c r="G19" t="str"/>
      <x:c r="H19" t="str">
        <x:v>2026-09-20</x:v>
      </x:c>
      <x:c r="I19"/>
      <x:c r="J19" t="str">
        <x:v>SUBMITTED</x:v>
      </x:c>
      <x:c r="K19" t="str">
        <x:v>B</x:v>
      </x:c>
      <x:c r="L19" t="str">
        <x:v>Initial SHADOW research</x:v>
      </x:c>
      <x:c r="M19" t="str"/>
      <x:c r="N19" t="str">
        <x:v>Do not treat as canonical evidence until source document/URL is attached.</x:v>
      </x:c>
    </x:row>
    <x:row r="20">
      <x:c r="A20" t="str">
        <x:v>SRC-0019</x:v>
      </x:c>
      <x:c r="B20" t="str">
        <x:v>SHD-019</x:v>
      </x:c>
      <x:c r="C20" t="str">
        <x:v>research lead</x:v>
      </x:c>
      <x:c r="D20" t="str">
        <x:v>Prior SHADOW research lead — source URL still needs capture in dataset</x:v>
      </x:c>
      <x:c r="E20" t="str"/>
      <x:c r="F20" t="str">
        <x:v>REVALIDATION REQUIRED</x:v>
      </x:c>
      <x:c r="G20" t="str"/>
      <x:c r="H20" t="str">
        <x:v>2026-09-20</x:v>
      </x:c>
      <x:c r="I20"/>
      <x:c r="J20" t="str">
        <x:v>SUBMITTED</x:v>
      </x:c>
      <x:c r="K20" t="str">
        <x:v>C</x:v>
      </x:c>
      <x:c r="L20" t="str">
        <x:v>Initial SHADOW research</x:v>
      </x:c>
      <x:c r="M20" t="str"/>
      <x:c r="N20" t="str">
        <x:v>Do not treat as canonical evidence until source document/URL is attached.</x:v>
      </x:c>
    </x:row>
    <x:row r="21">
      <x:c r="A21" t="str">
        <x:v>SRC-0020</x:v>
      </x:c>
      <x:c r="B21" t="str">
        <x:v>SHD-020</x:v>
      </x:c>
      <x:c r="C21" t="str">
        <x:v>research lead</x:v>
      </x:c>
      <x:c r="D21" t="str">
        <x:v>Prior SHADOW research lead — source URL still needs capture in dataset</x:v>
      </x:c>
      <x:c r="E21" t="str"/>
      <x:c r="F21" t="str">
        <x:v>REVALIDATION REQUIRED</x:v>
      </x:c>
      <x:c r="G21" t="str"/>
      <x:c r="H21" t="str">
        <x:v>2026-09-20</x:v>
      </x:c>
      <x:c r="I21"/>
      <x:c r="J21" t="str">
        <x:v>SUBMITTED</x:v>
      </x:c>
      <x:c r="K21" t="str">
        <x:v>C</x:v>
      </x:c>
      <x:c r="L21" t="str">
        <x:v>Initial SHADOW research</x:v>
      </x:c>
      <x:c r="M21" t="str"/>
      <x:c r="N21" t="str">
        <x:v>Do not treat as canonical evidence until source document/URL is attached.</x:v>
      </x:c>
    </x:row>
    <x:row r="22">
      <x:c r="A22" t="str">
        <x:v>SRC-0021</x:v>
      </x:c>
      <x:c r="B22" t="str">
        <x:v>SHD-021</x:v>
      </x:c>
      <x:c r="C22" t="str">
        <x:v>research lead</x:v>
      </x:c>
      <x:c r="D22" t="str">
        <x:v>Prior SHADOW research lead — source URL still needs capture in dataset</x:v>
      </x:c>
      <x:c r="E22" t="str"/>
      <x:c r="F22" t="str">
        <x:v>REVALIDATION REQUIRED</x:v>
      </x:c>
      <x:c r="G22" t="str"/>
      <x:c r="H22" t="str">
        <x:v>2026-09-20</x:v>
      </x:c>
      <x:c r="I22"/>
      <x:c r="J22" t="str">
        <x:v>SUBMITTED</x:v>
      </x:c>
      <x:c r="K22" t="str">
        <x:v>C</x:v>
      </x:c>
      <x:c r="L22" t="str">
        <x:v>Initial SHADOW research</x:v>
      </x:c>
      <x:c r="M22" t="str"/>
      <x:c r="N22" t="str">
        <x:v>Do not treat as canonical evidence until source document/URL is attached.</x:v>
      </x:c>
    </x:row>
    <x:row r="23">
      <x:c r="A23" t="str">
        <x:v>SRC-0022</x:v>
      </x:c>
      <x:c r="B23" t="str">
        <x:v>SHD-022</x:v>
      </x:c>
      <x:c r="C23" t="str">
        <x:v>research lead</x:v>
      </x:c>
      <x:c r="D23" t="str">
        <x:v>Prior SHADOW research lead — source URL still needs capture in dataset</x:v>
      </x:c>
      <x:c r="E23" t="str"/>
      <x:c r="F23" t="str">
        <x:v>REVALIDATION REQUIRED</x:v>
      </x:c>
      <x:c r="G23" t="str"/>
      <x:c r="H23" t="str">
        <x:v>2026-09-20</x:v>
      </x:c>
      <x:c r="I23"/>
      <x:c r="J23" t="str">
        <x:v>SUBMITTED</x:v>
      </x:c>
      <x:c r="K23" t="str">
        <x:v>C</x:v>
      </x:c>
      <x:c r="L23" t="str">
        <x:v>Initial SHADOW research</x:v>
      </x:c>
      <x:c r="M23" t="str"/>
      <x:c r="N23" t="str">
        <x:v>Do not treat as canonical evidence until source document/URL is attached.</x:v>
      </x:c>
    </x:row>
    <x:row r="24">
      <x:c r="A24" t="str">
        <x:v>SRC-0023</x:v>
      </x:c>
      <x:c r="B24" t="str">
        <x:v>SHD-023</x:v>
      </x:c>
      <x:c r="C24" t="str">
        <x:v>research lead</x:v>
      </x:c>
      <x:c r="D24" t="str">
        <x:v>Prior SHADOW research lead — source URL still needs capture in dataset</x:v>
      </x:c>
      <x:c r="E24" t="str"/>
      <x:c r="F24" t="str">
        <x:v>REVALIDATION REQUIRED</x:v>
      </x:c>
      <x:c r="G24" t="str"/>
      <x:c r="H24" t="str">
        <x:v>2026-09-20</x:v>
      </x:c>
      <x:c r="I24"/>
      <x:c r="J24" t="str">
        <x:v>SUBMITTED</x:v>
      </x:c>
      <x:c r="K24" t="str">
        <x:v>C</x:v>
      </x:c>
      <x:c r="L24" t="str">
        <x:v>Initial SHADOW research</x:v>
      </x:c>
      <x:c r="M24" t="str"/>
      <x:c r="N24" t="str">
        <x:v>Do not treat as canonical evidence until source document/URL is attached.</x:v>
      </x:c>
    </x:row>
    <x:row r="25">
      <x:c r="A25" t="str">
        <x:v>SRC-0024</x:v>
      </x:c>
      <x:c r="B25" t="str">
        <x:v>SHD-024</x:v>
      </x:c>
      <x:c r="C25" t="str">
        <x:v>research lead</x:v>
      </x:c>
      <x:c r="D25" t="str">
        <x:v>Prior SHADOW research lead — source URL still needs capture in dataset</x:v>
      </x:c>
      <x:c r="E25" t="str"/>
      <x:c r="F25" t="str">
        <x:v>REVALIDATION REQUIRED</x:v>
      </x:c>
      <x:c r="G25" t="str"/>
      <x:c r="H25" t="str">
        <x:v>2026-09-20</x:v>
      </x:c>
      <x:c r="I25"/>
      <x:c r="J25" t="str">
        <x:v>SUBMITTED</x:v>
      </x:c>
      <x:c r="K25" t="str">
        <x:v>C</x:v>
      </x:c>
      <x:c r="L25" t="str">
        <x:v>Initial SHADOW research</x:v>
      </x:c>
      <x:c r="M25" t="str"/>
      <x:c r="N25" t="str">
        <x:v>Do not treat as canonical evidence until source document/URL is attached.</x:v>
      </x:c>
    </x:row>
    <x:row r="26">
      <x:c r="A26" t="str">
        <x:v>SRC-0025</x:v>
      </x:c>
      <x:c r="B26" t="str">
        <x:v>SHD-025</x:v>
      </x:c>
      <x:c r="C26" t="str">
        <x:v>research lead</x:v>
      </x:c>
      <x:c r="D26" t="str">
        <x:v>Prior SHADOW research lead — source URL still needs capture in dataset</x:v>
      </x:c>
      <x:c r="E26" t="str"/>
      <x:c r="F26" t="str">
        <x:v>REVALIDATION REQUIRED</x:v>
      </x:c>
      <x:c r="G26" t="str"/>
      <x:c r="H26" t="str">
        <x:v>2026-09-20</x:v>
      </x:c>
      <x:c r="I26"/>
      <x:c r="J26" t="str">
        <x:v>SUBMITTED</x:v>
      </x:c>
      <x:c r="K26" t="str">
        <x:v>C</x:v>
      </x:c>
      <x:c r="L26" t="str">
        <x:v>Initial SHADOW research</x:v>
      </x:c>
      <x:c r="M26" t="str"/>
      <x:c r="N26" t="str">
        <x:v>Do not treat as canonical evidence until source document/URL is attached.</x:v>
      </x:c>
    </x:row>
    <x:row r="27">
      <x:c r="A27" t="str">
        <x:v>SRC-0026</x:v>
      </x:c>
      <x:c r="B27" t="str">
        <x:v>SHD-026</x:v>
      </x:c>
      <x:c r="C27" t="str">
        <x:v>asset/disposition</x:v>
      </x:c>
      <x:c r="D27" t="str">
        <x:v>Public source captured during SHADOW research</x:v>
      </x:c>
      <x:c r="E27" t="str">
        <x:v>https://www.aol.com/articles/neighboring-business-makes-top-bid-150509000.html</x:v>
      </x:c>
      <x:c r="F27" t="str">
        <x:v>Government or news source</x:v>
      </x:c>
      <x:c r="G27" t="str"/>
      <x:c r="H27" t="str">
        <x:v>2026-09-20</x:v>
      </x:c>
      <x:c r="I27"/>
      <x:c r="J27" t="str">
        <x:v>SOURCE_VERIFIED</x:v>
      </x:c>
      <x:c r="K27" t="str">
        <x:v>A</x:v>
      </x:c>
      <x:c r="L27" t="str">
        <x:v>Initial SHADOW research</x:v>
      </x:c>
      <x:c r="M27" t="str"/>
      <x:c r="N27" t="str">
        <x:v>Revalidate claim-level details before promoting to CANONICAL.</x:v>
      </x:c>
    </x:row>
    <x:row r="28">
      <x:c r="A28" t="str">
        <x:v>SRC-0027</x:v>
      </x:c>
      <x:c r="B28" t="str">
        <x:v>SHD-027</x:v>
      </x:c>
      <x:c r="C28" t="str">
        <x:v>asset/disposition</x:v>
      </x:c>
      <x:c r="D28" t="str">
        <x:v>Public source captured during SHADOW research</x:v>
      </x:c>
      <x:c r="E28" t="str">
        <x:v>https://vtdigger.org/2026/09/18/federal-government-rejects-winning-bid-for-montpeliers-former-post-office/</x:v>
      </x:c>
      <x:c r="F28" t="str">
        <x:v>Government or news source</x:v>
      </x:c>
      <x:c r="G28" t="str"/>
      <x:c r="H28" t="str">
        <x:v>2026-09-20</x:v>
      </x:c>
      <x:c r="I28"/>
      <x:c r="J28" t="str">
        <x:v>SOURCE_VERIFIED</x:v>
      </x:c>
      <x:c r="K28" t="str">
        <x:v>A</x:v>
      </x:c>
      <x:c r="L28" t="str">
        <x:v>Initial SHADOW research</x:v>
      </x:c>
      <x:c r="M28" t="str"/>
      <x:c r="N28" t="str">
        <x:v>Revalidate claim-level details before promoting to CANONICAL.</x:v>
      </x:c>
    </x:row>
    <x:row r="29">
      <x:c r="A29" t="str">
        <x:v>SRC-0028</x:v>
      </x:c>
      <x:c r="B29" t="str">
        <x:v>SHD-027</x:v>
      </x:c>
      <x:c r="C29" t="str">
        <x:v>asset/disposition</x:v>
      </x:c>
      <x:c r="D29" t="str">
        <x:v>Public source captured during SHADOW research</x:v>
      </x:c>
      <x:c r="E29" t="str">
        <x:v>https://www.sevendaysvt.com/news/news-news/federal-government-rejects-montpelier-groups-bid-for-former-post-office/</x:v>
      </x:c>
      <x:c r="F29" t="str">
        <x:v>Government or news source</x:v>
      </x:c>
      <x:c r="G29" t="str"/>
      <x:c r="H29" t="str">
        <x:v>2026-09-20</x:v>
      </x:c>
      <x:c r="I29"/>
      <x:c r="J29" t="str">
        <x:v>SOURCE_VERIFIED</x:v>
      </x:c>
      <x:c r="K29" t="str">
        <x:v>A</x:v>
      </x:c>
      <x:c r="L29" t="str">
        <x:v>Initial SHADOW research</x:v>
      </x:c>
      <x:c r="M29" t="str"/>
      <x:c r="N29" t="str">
        <x:v>Revalidate claim-level details before promoting to CANONICAL.</x:v>
      </x:c>
    </x:row>
    <x:row r="30">
      <x:c r="A30" t="str">
        <x:v>SRC-0029</x:v>
      </x:c>
      <x:c r="B30" t="str">
        <x:v>SHD-028</x:v>
      </x:c>
      <x:c r="C30" t="str">
        <x:v>asset/disposition</x:v>
      </x:c>
      <x:c r="D30" t="str">
        <x:v>Public source captured during SHADOW research</x:v>
      </x:c>
      <x:c r="E30" t="str">
        <x:v>https://www.gsa.gov/real-estate/real-property-disposition/assets-identified-for-accelerated-disposition</x:v>
      </x:c>
      <x:c r="F30" t="str">
        <x:v>Government or news source</x:v>
      </x:c>
      <x:c r="G30" t="str"/>
      <x:c r="H30" t="str">
        <x:v>2026-09-20</x:v>
      </x:c>
      <x:c r="I30"/>
      <x:c r="J30" t="str">
        <x:v>SOURCE_VERIFIED</x:v>
      </x:c>
      <x:c r="K30" t="str">
        <x:v>A</x:v>
      </x:c>
      <x:c r="L30" t="str">
        <x:v>Initial SHADOW research</x:v>
      </x:c>
      <x:c r="M30" t="str"/>
      <x:c r="N30" t="str">
        <x:v>Revalidate claim-level details before promoting to CANONICAL.</x:v>
      </x:c>
    </x:row>
    <x:row r="31">
      <x:c r="A31" t="str">
        <x:v>SRC-0030</x:v>
      </x:c>
      <x:c r="B31" t="str">
        <x:v>SHD-028</x:v>
      </x:c>
      <x:c r="C31" t="str">
        <x:v>asset/disposition</x:v>
      </x:c>
      <x:c r="D31" t="str">
        <x:v>Public source captured during SHADOW research</x:v>
      </x:c>
      <x:c r="E31" t="str">
        <x:v>https://re-nj.com/flipbook/06_v2-2026/files/basic-html/page25.html</x:v>
      </x:c>
      <x:c r="F31" t="str">
        <x:v>Government or news source</x:v>
      </x:c>
      <x:c r="G31" t="str"/>
      <x:c r="H31" t="str">
        <x:v>2026-09-20</x:v>
      </x:c>
      <x:c r="I31"/>
      <x:c r="J31" t="str">
        <x:v>SOURCE_VERIFIED</x:v>
      </x:c>
      <x:c r="K31" t="str">
        <x:v>A</x:v>
      </x:c>
      <x:c r="L31" t="str">
        <x:v>Initial SHADOW research</x:v>
      </x:c>
      <x:c r="M31" t="str"/>
      <x:c r="N31" t="str">
        <x:v>Revalidate claim-level details before promoting to CANONICAL.</x:v>
      </x:c>
    </x:row>
    <x:row r="32">
      <x:c r="A32" t="str">
        <x:v>SRC-0031</x:v>
      </x:c>
      <x:c r="B32" t="str">
        <x:v>SHD-029</x:v>
      </x:c>
      <x:c r="C32" t="str">
        <x:v>asset/disposition</x:v>
      </x:c>
      <x:c r="D32" t="str">
        <x:v>Public source captured during SHADOW research</x:v>
      </x:c>
      <x:c r="E32" t="str">
        <x:v>https://www.gsa.gov/real-estate/real-property-disposition/assets-identified-for-accelerated-disposition</x:v>
      </x:c>
      <x:c r="F32" t="str">
        <x:v>Government or news source</x:v>
      </x:c>
      <x:c r="G32" t="str"/>
      <x:c r="H32" t="str">
        <x:v>2026-09-20</x:v>
      </x:c>
      <x:c r="I32"/>
      <x:c r="J32" t="str">
        <x:v>SOURCE_VERIFIED</x:v>
      </x:c>
      <x:c r="K32" t="str">
        <x:v>A</x:v>
      </x:c>
      <x:c r="L32" t="str">
        <x:v>Initial SHADOW research</x:v>
      </x:c>
      <x:c r="M32" t="str"/>
      <x:c r="N32" t="str">
        <x:v>Revalidate claim-level details before promoting to CANONICAL.</x:v>
      </x:c>
    </x:row>
    <x:row r="33">
      <x:c r="A33" t="str">
        <x:v>SRC-0032</x:v>
      </x:c>
      <x:c r="B33" t="str">
        <x:v>SHD-029</x:v>
      </x:c>
      <x:c r="C33" t="str">
        <x:v>asset/disposition</x:v>
      </x:c>
      <x:c r="D33" t="str">
        <x:v>Public source captured during SHADOW research</x:v>
      </x:c>
      <x:c r="E33" t="str">
        <x:v>https://www.gsa.gov/about-gsa/newsroom/congressional-testimony/commissioner-heller-before-ti-12112025</x:v>
      </x:c>
      <x:c r="F33" t="str">
        <x:v>Government or news source</x:v>
      </x:c>
      <x:c r="G33" t="str"/>
      <x:c r="H33" t="str">
        <x:v>2026-09-20</x:v>
      </x:c>
      <x:c r="I33"/>
      <x:c r="J33" t="str">
        <x:v>SOURCE_VERIFIED</x:v>
      </x:c>
      <x:c r="K33" t="str">
        <x:v>A</x:v>
      </x:c>
      <x:c r="L33" t="str">
        <x:v>Initial SHADOW research</x:v>
      </x:c>
      <x:c r="M33" t="str"/>
      <x:c r="N33" t="str">
        <x:v>Revalidate claim-level details before promoting to CANONICAL.</x:v>
      </x:c>
    </x:row>
    <x:row r="34">
      <x:c r="A34" t="str">
        <x:v>SRC-0033</x:v>
      </x:c>
      <x:c r="B34" t="str">
        <x:v>SHD-030</x:v>
      </x:c>
      <x:c r="C34" t="str">
        <x:v>asset/disposition</x:v>
      </x:c>
      <x:c r="D34" t="str">
        <x:v>Public source captured during SHADOW research</x:v>
      </x:c>
      <x:c r="E34" t="str">
        <x:v>https://www.gsa.gov/real-estate/real-property-disposition/assets-identified-for-accelerated-disposition</x:v>
      </x:c>
      <x:c r="F34" t="str">
        <x:v>Government or news source</x:v>
      </x:c>
      <x:c r="G34" t="str"/>
      <x:c r="H34" t="str">
        <x:v>2026-09-20</x:v>
      </x:c>
      <x:c r="I34"/>
      <x:c r="J34" t="str">
        <x:v>SOURCE_VERIFIED</x:v>
      </x:c>
      <x:c r="K34" t="str">
        <x:v>A</x:v>
      </x:c>
      <x:c r="L34" t="str">
        <x:v>Initial SHADOW research</x:v>
      </x:c>
      <x:c r="M34" t="str"/>
      <x:c r="N34" t="str">
        <x:v>Revalidate claim-level details before promoting to CANONICAL.</x:v>
      </x:c>
    </x:row>
    <x:row r="35">
      <x:c r="A35" t="str">
        <x:v>SRC-0034</x:v>
      </x:c>
      <x:c r="B35" t="str">
        <x:v>SHD-031</x:v>
      </x:c>
      <x:c r="C35" t="str">
        <x:v>asset/disposition</x:v>
      </x:c>
      <x:c r="D35" t="str">
        <x:v>Public source captured during SHADOW research</x:v>
      </x:c>
      <x:c r="E35" t="str">
        <x:v>https://www.gsa.gov/about-gsa/newsroom/news-releases/gsa-saves-more-than-348-million-with-downtown-fort-worth-dispositions-09102026</x:v>
      </x:c>
      <x:c r="F35" t="str">
        <x:v>Government or news source</x:v>
      </x:c>
      <x:c r="G35" t="str"/>
      <x:c r="H35" t="str">
        <x:v>2026-09-20</x:v>
      </x:c>
      <x:c r="I35"/>
      <x:c r="J35" t="str">
        <x:v>SOURCE_VERIFIED</x:v>
      </x:c>
      <x:c r="K35" t="str">
        <x:v>A</x:v>
      </x:c>
      <x:c r="L35" t="str">
        <x:v>Initial SHADOW research</x:v>
      </x:c>
      <x:c r="M35" t="str"/>
      <x:c r="N35" t="str">
        <x:v>Revalidate claim-level details before promoting to CANONICAL.</x:v>
      </x:c>
    </x:row>
    <x:row r="36">
      <x:c r="A36" t="str">
        <x:v>SRC-0035</x:v>
      </x:c>
      <x:c r="B36" t="str">
        <x:v>SHD-032</x:v>
      </x:c>
      <x:c r="C36" t="str">
        <x:v>asset/disposition</x:v>
      </x:c>
      <x:c r="D36" t="str">
        <x:v>Public source captured during SHADOW research</x:v>
      </x:c>
      <x:c r="E36" t="str">
        <x:v>https://www.gsa.gov/about-gsa/newsroom/news-releases/gsa-saves-more-than-348-million-with-downtown-fort-worth-dispositions-09102026</x:v>
      </x:c>
      <x:c r="F36" t="str">
        <x:v>Government or news source</x:v>
      </x:c>
      <x:c r="G36" t="str"/>
      <x:c r="H36" t="str">
        <x:v>2026-09-20</x:v>
      </x:c>
      <x:c r="I36"/>
      <x:c r="J36" t="str">
        <x:v>SOURCE_VERIFIED</x:v>
      </x:c>
      <x:c r="K36" t="str">
        <x:v>A</x:v>
      </x:c>
      <x:c r="L36" t="str">
        <x:v>Initial SHADOW research</x:v>
      </x:c>
      <x:c r="M36" t="str"/>
      <x:c r="N36" t="str">
        <x:v>Revalidate claim-level details before promoting to CANONICAL.</x:v>
      </x:c>
    </x:row>
    <x:row r="37">
      <x:c r="A37" t="str">
        <x:v>SRC-0036</x:v>
      </x:c>
      <x:c r="B37" t="str">
        <x:v>SHD-033</x:v>
      </x:c>
      <x:c r="C37" t="str">
        <x:v>asset/disposition</x:v>
      </x:c>
      <x:c r="D37" t="str">
        <x:v>Public source captured during SHADOW research</x:v>
      </x:c>
      <x:c r="E37" t="str">
        <x:v>https://www.gsa.gov/real-estate/real-property-disposition/assets-identified-for-accelerated-disposition</x:v>
      </x:c>
      <x:c r="F37" t="str">
        <x:v>Government or news source</x:v>
      </x:c>
      <x:c r="G37" t="str"/>
      <x:c r="H37" t="str">
        <x:v>2026-09-20</x:v>
      </x:c>
      <x:c r="I37"/>
      <x:c r="J37" t="str">
        <x:v>SOURCE_VERIFIED</x:v>
      </x:c>
      <x:c r="K37" t="str">
        <x:v>A</x:v>
      </x:c>
      <x:c r="L37" t="str">
        <x:v>Initial SHADOW research</x:v>
      </x:c>
      <x:c r="M37" t="str"/>
      <x:c r="N37" t="str">
        <x:v>Revalidate claim-level details before promoting to CANONICAL.</x:v>
      </x:c>
    </x:row>
    <x:row r="38">
      <x:c r="A38" t="str">
        <x:v>SRC-0037</x:v>
      </x:c>
      <x:c r="B38" t="str">
        <x:v>SHD-033</x:v>
      </x:c>
      <x:c r="C38" t="str">
        <x:v>asset/disposition</x:v>
      </x:c>
      <x:c r="D38" t="str">
        <x:v>Public source captured during SHADOW research</x:v>
      </x:c>
      <x:c r="E38" t="str">
        <x:v>https://www.gsa.gov/about-gsa/newsroom/news-releases/gsa-announces-accelerated-disposition-of-celebrezze-federal-building-05012025</x:v>
      </x:c>
      <x:c r="F38" t="str">
        <x:v>Government or news source</x:v>
      </x:c>
      <x:c r="G38" t="str"/>
      <x:c r="H38" t="str">
        <x:v>2026-09-20</x:v>
      </x:c>
      <x:c r="I38"/>
      <x:c r="J38" t="str">
        <x:v>SOURCE_VERIFIED</x:v>
      </x:c>
      <x:c r="K38" t="str">
        <x:v>A</x:v>
      </x:c>
      <x:c r="L38" t="str">
        <x:v>Initial SHADOW research</x:v>
      </x:c>
      <x:c r="M38" t="str"/>
      <x:c r="N38" t="str">
        <x:v>Revalidate claim-level details before promoting to CANONICAL.</x:v>
      </x:c>
    </x:row>
    <x:row r="39">
      <x:c r="A39" t="str">
        <x:v>SRC-0038</x:v>
      </x:c>
      <x:c r="B39" t="str">
        <x:v>SHD-034</x:v>
      </x:c>
      <x:c r="C39" t="str">
        <x:v>asset/disposition</x:v>
      </x:c>
      <x:c r="D39" t="str">
        <x:v>Public source captured during SHADOW research</x:v>
      </x:c>
      <x:c r="E39" t="str">
        <x:v>https://www.gsa.gov/real-estate/real-property-disposition/assets-identified-for-accelerated-disposition</x:v>
      </x:c>
      <x:c r="F39" t="str">
        <x:v>Government or news source</x:v>
      </x:c>
      <x:c r="G39" t="str"/>
      <x:c r="H39" t="str">
        <x:v>2026-09-20</x:v>
      </x:c>
      <x:c r="I39"/>
      <x:c r="J39" t="str">
        <x:v>SOURCE_VERIFIED</x:v>
      </x:c>
      <x:c r="K39" t="str">
        <x:v>A</x:v>
      </x:c>
      <x:c r="L39" t="str">
        <x:v>Initial SHADOW research</x:v>
      </x:c>
      <x:c r="M39" t="str"/>
      <x:c r="N39" t="str">
        <x:v>Revalidate claim-level details before promoting to CANONICAL.</x:v>
      </x:c>
    </x:row>
    <x:row r="40">
      <x:c r="A40" t="str">
        <x:v>SRC-0039</x:v>
      </x:c>
      <x:c r="B40" t="str">
        <x:v>SHD-035</x:v>
      </x:c>
      <x:c r="C40" t="str">
        <x:v>asset/disposition</x:v>
      </x:c>
      <x:c r="D40" t="str">
        <x:v>Public source captured during SHADOW research</x:v>
      </x:c>
      <x:c r="E40" t="str">
        <x:v>https://www.gsa.gov/real-estate/real-property-disposition/assets-identified-for-accelerated-disposition</x:v>
      </x:c>
      <x:c r="F40" t="str">
        <x:v>Government or news source</x:v>
      </x:c>
      <x:c r="G40" t="str"/>
      <x:c r="H40" t="str">
        <x:v>2026-09-20</x:v>
      </x:c>
      <x:c r="I40"/>
      <x:c r="J40" t="str">
        <x:v>SOURCE_VERIFIED</x:v>
      </x:c>
      <x:c r="K40" t="str">
        <x:v>A</x:v>
      </x:c>
      <x:c r="L40" t="str">
        <x:v>Initial SHADOW research</x:v>
      </x:c>
      <x:c r="M40" t="str"/>
      <x:c r="N40" t="str">
        <x:v>Revalidate claim-level details before promoting to CANONICAL.</x:v>
      </x:c>
    </x:row>
    <x:row r="41">
      <x:c r="A41" t="str">
        <x:v>SRC-0040</x:v>
      </x:c>
      <x:c r="B41" t="str">
        <x:v>SHD-036</x:v>
      </x:c>
      <x:c r="C41" t="str">
        <x:v>asset/disposition</x:v>
      </x:c>
      <x:c r="D41" t="str">
        <x:v>Public source captured during SHADOW research</x:v>
      </x:c>
      <x:c r="E41" t="str">
        <x:v>https://www.gsa.gov/about-gsa/newsroom/news-releases/gsa-announces-plan-to-sell-historic-bozeman-federal-building-and-post-office-07232026</x:v>
      </x:c>
      <x:c r="F41" t="str">
        <x:v>Government or news source</x:v>
      </x:c>
      <x:c r="G41" t="str"/>
      <x:c r="H41" t="str">
        <x:v>2026-09-20</x:v>
      </x:c>
      <x:c r="I41"/>
      <x:c r="J41" t="str">
        <x:v>SOURCE_VERIFIED</x:v>
      </x:c>
      <x:c r="K41" t="str">
        <x:v>A</x:v>
      </x:c>
      <x:c r="L41" t="str">
        <x:v>Initial SHADOW research</x:v>
      </x:c>
      <x:c r="M41" t="str"/>
      <x:c r="N41" t="str">
        <x:v>Revalidate claim-level details before promoting to CANONICAL.</x:v>
      </x:c>
    </x:row>
  </x:sheetData>
  <x:pageMargins left="0.7" right="0.7" top="0.75" bottom="0.75" header="0.3" footer="0.3"/>
  <x:tableParts count="1">
    <x:tablePart xmlns:r="http://schemas.openxmlformats.org/officeDocument/2006/relationships" r:id="Re84d9a05349b4de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48" hidden="0" customWidth="1"/>
    <x:col min="6" max="6" width="50" hidden="0" customWidth="1"/>
    <x:col min="7" max="7" width="16" hidden="0" customWidth="1"/>
    <x:col min="8" max="8" width="22" hidden="0" customWidth="1"/>
    <x:col min="9" max="9" width="14" hidden="0" customWidth="1"/>
    <x:col min="10" max="10" width="48" hidden="0" customWidth="1"/>
  </x:cols>
  <x:sheetData>
    <x:row r="1" ht="30" customHeight="1">
      <x:c r="A1" s="18" t="str">
        <x:v>Task_ID</x:v>
      </x:c>
      <x:c r="B1" s="18" t="str">
        <x:v>Asset_ID</x:v>
      </x:c>
      <x:c r="C1" s="18" t="str">
        <x:v>Priority</x:v>
      </x:c>
      <x:c r="D1" s="18" t="str">
        <x:v>Workstream</x:v>
      </x:c>
      <x:c r="E1" s="18" t="str">
        <x:v>Question</x:v>
      </x:c>
      <x:c r="F1" s="18" t="str">
        <x:v>Desired_Evidence</x:v>
      </x:c>
      <x:c r="G1" s="18" t="str">
        <x:v>Status</x:v>
      </x:c>
      <x:c r="H1" s="18" t="str">
        <x:v>Assigned_To</x:v>
      </x:c>
      <x:c r="I1" s="18" t="str">
        <x:v>Last_Update</x:v>
      </x:c>
      <x:c r="J1" s="18" t="str">
        <x:v>Notes</x:v>
      </x:c>
    </x:row>
    <x:row r="2">
      <x:c r="A2" t="str">
        <x:v>TASK-001</x:v>
      </x:c>
      <x:c r="B2" t="str">
        <x:v>SHD-021</x:v>
      </x:c>
      <x:c r="C2" t="str">
        <x:v>CRITICAL</x:v>
      </x:c>
      <x:c r="D2" t="str">
        <x:v>Title / rights</x:v>
      </x:c>
      <x:c r="E2" t="str">
        <x:v>Who acquired Hawkinsville and exactly which water, mineral and oil/gas rights transferred?</x:v>
      </x:c>
      <x:c r="F2" t="str">
        <x:v>Recorded deed/assignment + county index + rights schedule</x:v>
      </x:c>
      <x:c r="G2" t="str">
        <x:v>OPEN</x:v>
      </x:c>
      <x:c r="H2" t="str"/>
      <x:c r="I2" t="str"/>
      <x:c r="J2" t="str">
        <x:v>Do not infer rights transfer from marketing language alone.</x:v>
      </x:c>
    </x:row>
    <x:row r="3">
      <x:c r="A3" t="str">
        <x:v>TASK-002</x:v>
      </x:c>
      <x:c r="B3" t="str">
        <x:v>SHD-028</x:v>
      </x:c>
      <x:c r="C3" t="str">
        <x:v>CRITICAL</x:v>
      </x:c>
      <x:c r="D3" t="str">
        <x:v>Ownership</x:v>
      </x:c>
      <x:c r="E3" t="str">
        <x:v>Who is the buyer under contract for The Depot at Somerville?</x:v>
      </x:c>
      <x:c r="F3" t="str">
        <x:v>Award notice, contract/closing notice, recorded deed</x:v>
      </x:c>
      <x:c r="G3" t="str">
        <x:v>OPEN</x:v>
      </x:c>
      <x:c r="H3" t="str"/>
      <x:c r="I3" t="str"/>
      <x:c r="J3" t="str">
        <x:v>Resolve sponsor and ultimate capital as soon as public.</x:v>
      </x:c>
    </x:row>
    <x:row r="4">
      <x:c r="A4" t="str">
        <x:v>TASK-003</x:v>
      </x:c>
      <x:c r="B4" t="str">
        <x:v>SHD-029</x:v>
      </x:c>
      <x:c r="C4" t="str">
        <x:v>CRITICAL</x:v>
      </x:c>
      <x:c r="D4" t="str">
        <x:v>TitleChain Asset State</x:v>
      </x:c>
      <x:c r="E4" t="str">
        <x:v>Build complete state for Spring Street Courthouse.</x:v>
      </x:c>
      <x:c r="F4" t="str">
        <x:v>Parcel/title records, restrictions, occupancy, liens, environmental, maintenance obligations</x:v>
      </x:c>
      <x:c r="G4" t="str">
        <x:v>OPEN</x:v>
      </x:c>
      <x:c r="H4" t="str"/>
      <x:c r="I4" t="str"/>
      <x:c r="J4" t="str">
        <x:v>Reference asset for end-to-end SHADOW → People's Trust.</x:v>
      </x:c>
    </x:row>
    <x:row r="5">
      <x:c r="A5" t="str">
        <x:v>TASK-004</x:v>
      </x:c>
      <x:c r="B5" t="str">
        <x:v>SHD-017</x:v>
      </x:c>
      <x:c r="C5" t="str">
        <x:v>VERY HIGH</x:v>
      </x:c>
      <x:c r="D5" t="str">
        <x:v>Ownership</x:v>
      </x:c>
      <x:c r="E5" t="str">
        <x:v>Who bought 4807 Spicewood Springs Building 5?</x:v>
      </x:c>
      <x:c r="F5" t="str">
        <x:v>Travis County deed + grantee entity records</x:v>
      </x:c>
      <x:c r="G5" t="str">
        <x:v>OPEN</x:v>
      </x:c>
      <x:c r="H5" t="str"/>
      <x:c r="I5" t="str"/>
      <x:c r="J5" t="str">
        <x:v>Occupancy is not ownership.</x:v>
      </x:c>
    </x:row>
    <x:row r="6">
      <x:c r="A6" t="str">
        <x:v>TASK-005</x:v>
      </x:c>
      <x:c r="B6" t="str">
        <x:v>SHD-018</x:v>
      </x:c>
      <x:c r="C6" t="str">
        <x:v>VERY HIGH</x:v>
      </x:c>
      <x:c r="D6" t="str">
        <x:v>Beneficial ownership</x:v>
      </x:c>
      <x:c r="E6" t="str">
        <x:v>Who ultimately controls RAMA LLC?</x:v>
      </x:c>
      <x:c r="F6" t="str">
        <x:v>Wisconsin entity filings + deed + financing records</x:v>
      </x:c>
      <x:c r="G6" t="str">
        <x:v>OPEN</x:v>
      </x:c>
      <x:c r="H6" t="str"/>
      <x:c r="I6" t="str"/>
      <x:c r="J6" t="str">
        <x:v>Do not infer family relationships without evidence.</x:v>
      </x:c>
    </x:row>
    <x:row r="7">
      <x:c r="A7" t="str">
        <x:v>TASK-006</x:v>
      </x:c>
      <x:c r="B7" t="str">
        <x:v>SHD-019</x:v>
      </x:c>
      <x:c r="C7" t="str">
        <x:v>VERY HIGH</x:v>
      </x:c>
      <x:c r="D7" t="str">
        <x:v>Ownership / debt</x:v>
      </x:c>
      <x:c r="E7" t="str">
        <x:v>Who acquired Jonesport Coast Guard housing and who financed it?</x:v>
      </x:c>
      <x:c r="F7" t="str">
        <x:v>Recorded deed + mortgage + entity filings</x:v>
      </x:c>
      <x:c r="G7" t="str">
        <x:v>OPEN</x:v>
      </x:c>
      <x:c r="H7" t="str"/>
      <x:c r="I7" t="str"/>
      <x:c r="J7" t="str">
        <x:v>Also check shoreline/access rights.</x:v>
      </x:c>
    </x:row>
    <x:row r="8">
      <x:c r="A8" t="str">
        <x:v>TASK-007</x:v>
      </x:c>
      <x:c r="B8" t="str">
        <x:v>SHD-020</x:v>
      </x:c>
      <x:c r="C8" t="str">
        <x:v>VERY HIGH</x:v>
      </x:c>
      <x:c r="D8" t="str">
        <x:v>Ownership / environmental</x:v>
      </x:c>
      <x:c r="E8" t="str">
        <x:v>Who acquired the Atterbury parcel and what obligations travel with it?</x:v>
      </x:c>
      <x:c r="F8" t="str">
        <x:v>Recorded deed + environmental records + mortgage</x:v>
      </x:c>
      <x:c r="G8" t="str">
        <x:v>OPEN</x:v>
      </x:c>
      <x:c r="H8" t="str"/>
      <x:c r="I8" t="str"/>
      <x:c r="J8" t="str">
        <x:v>Large former federal site.</x:v>
      </x:c>
    </x:row>
    <x:row r="9">
      <x:c r="A9" t="str">
        <x:v>TASK-008</x:v>
      </x:c>
      <x:c r="B9" t="str">
        <x:v>SHD-030</x:v>
      </x:c>
      <x:c r="C9" t="str">
        <x:v>VERY HIGH</x:v>
      </x:c>
      <x:c r="D9" t="str">
        <x:v>People's Trust screen</x:v>
      </x:c>
      <x:c r="E9" t="str">
        <x:v>Build TitleChain Asset State for Fort Worth Federal Center.</x:v>
      </x:c>
      <x:c r="F9" t="str">
        <x:v>Parcel/deed, environmental, occupancy, disposition, public-benefit eligibility</x:v>
      </x:c>
      <x:c r="G9" t="str">
        <x:v>OPEN</x:v>
      </x:c>
      <x:c r="H9" t="str"/>
      <x:c r="I9" t="str"/>
      <x:c r="J9" t="str">
        <x:v>Second-city prototype candidate.</x:v>
      </x:c>
    </x:row>
    <x:row r="10">
      <x:c r="A10" t="str">
        <x:v>TASK-009</x:v>
      </x:c>
      <x:c r="B10" t="str">
        <x:v>SHD-033</x:v>
      </x:c>
      <x:c r="C10" t="str">
        <x:v>VERY HIGH</x:v>
      </x:c>
      <x:c r="D10" t="str">
        <x:v>Adaptive reuse</x:v>
      </x:c>
      <x:c r="E10" t="str">
        <x:v>Resolve Celebrezze title state, obligations, occupancy and redevelopment constraints.</x:v>
      </x:c>
      <x:c r="F10" t="str">
        <x:v>Title + federal disposition docs + local planning + environmental</x:v>
      </x:c>
      <x:c r="G10" t="str">
        <x:v>OPEN</x:v>
      </x:c>
      <x:c r="H10" t="str"/>
      <x:c r="I10" t="str"/>
      <x:c r="J10" t="str">
        <x:v>~1.2M sf scale.</x:v>
      </x:c>
    </x:row>
    <x:row r="11">
      <x:c r="A11" t="str">
        <x:v>TASK-010</x:v>
      </x:c>
      <x:c r="B11" t="str">
        <x:v>SHD-034</x:v>
      </x:c>
      <x:c r="C11" t="str">
        <x:v>CRITICAL</x:v>
      </x:c>
      <x:c r="D11" t="str">
        <x:v>Environmental / title</x:v>
      </x:c>
      <x:c r="E11" t="str">
        <x:v>Resolve specialized-facility liabilities at Goodfellow.</x:v>
      </x:c>
      <x:c r="F11" t="str">
        <x:v>Environmental reports, title, decommissioning obligations, utilities</x:v>
      </x:c>
      <x:c r="G11" t="str">
        <x:v>OPEN</x:v>
      </x:c>
      <x:c r="H11" t="str"/>
      <x:c r="I11" t="str"/>
      <x:c r="J11" t="str">
        <x:v>Do not treat as commodity office.</x:v>
      </x:c>
    </x:row>
    <x:row r="12">
      <x:c r="A12" t="str">
        <x:v>TASK-011</x:v>
      </x:c>
      <x:c r="B12" t="str">
        <x:v>SHD-009</x:v>
      </x:c>
      <x:c r="C12" t="str">
        <x:v>VERY HIGH</x:v>
      </x:c>
      <x:c r="D12" t="str">
        <x:v>Mineral rights</x:v>
      </x:c>
      <x:c r="E12" t="str">
        <x:v>Capture Big Spring recorded mineral conveyance and all burdens/reservations.</x:v>
      </x:c>
      <x:c r="F12" t="str">
        <x:v>Recorded assignment/deed + lease/operator records</x:v>
      </x:c>
      <x:c r="G12" t="str">
        <x:v>OPEN</x:v>
      </x:c>
      <x:c r="H12" t="str"/>
      <x:c r="I12" t="str"/>
      <x:c r="J12" t="str">
        <x:v>Rights-state reference case.</x:v>
      </x:c>
    </x:row>
    <x:row r="13">
      <x:c r="A13" t="str">
        <x:v>TASK-012</x:v>
      </x:c>
      <x:c r="B13" t="str">
        <x:v>SHD-004</x:v>
      </x:c>
      <x:c r="C13" t="str">
        <x:v>HIGH</x:v>
      </x:c>
      <x:c r="D13" t="str">
        <x:v>Debt</x:v>
      </x:c>
      <x:c r="E13" t="str">
        <x:v>Verify OakNorth acquisition financing and priority.</x:v>
      </x:c>
      <x:c r="F13" t="str">
        <x:v>Recorded mortgage/deed of trust + lender filing</x:v>
      </x:c>
      <x:c r="G13" t="str">
        <x:v>OPEN</x:v>
      </x:c>
      <x:c r="H13" t="str"/>
      <x:c r="I13" t="str"/>
      <x:c r="J13" t="str">
        <x:v>Populate Debt_Liens.</x:v>
      </x:c>
    </x:row>
    <x:row r="14">
      <x:c r="A14" t="str">
        <x:v>TASK-013</x:v>
      </x:c>
      <x:c r="B14" t="str">
        <x:v>SHD-027</x:v>
      </x:c>
      <x:c r="C14" t="str">
        <x:v>VERY HIGH</x:v>
      </x:c>
      <x:c r="D14" t="str">
        <x:v>Disposition / environment</x:v>
      </x:c>
      <x:c r="E14" t="str">
        <x:v>Track Montpelier next sale path and remediation obligations.</x:v>
      </x:c>
      <x:c r="F14" t="str">
        <x:v>GSA relisting + environmental reports + local funding docs</x:v>
      </x:c>
      <x:c r="G14" t="str">
        <x:v>OPEN</x:v>
      </x:c>
      <x:c r="H14" t="str"/>
      <x:c r="I14" t="str"/>
      <x:c r="J14" t="str">
        <x:v>Important public-benefit counterexample.</x:v>
      </x:c>
    </x:row>
  </x:sheetData>
  <x:dataValidations count="2">
    <x:dataValidation type="list" sqref="C2:C500">
      <x:formula1>"CRITICAL,VERY HIGH,HIGH,MEDIUM,LOW"</x:formula1>
    </x:dataValidation>
    <x:dataValidation type="list" sqref="G2:G500">
      <x:formula1>"OPEN,IN PROGRESS,BLOCKED,READY FOR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77e3161ce54b8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  <x:col min="3" max="3" width="52" hidden="0" customWidth="1"/>
  </x:cols>
  <x:sheetData>
    <x:row r="1" ht="30" customHeight="1">
      <x:c r="A1" s="18" t="str">
        <x:v>Term</x:v>
      </x:c>
      <x:c r="B1" s="18" t="str">
        <x:v>Canonical_Meaning</x:v>
      </x:c>
      <x:c r="C1" s="18" t="str">
        <x:v>Common_Language_Question</x:v>
      </x:c>
    </x:row>
    <x:row r="2">
      <x:c r="A2" t="str">
        <x:v>SHADOW</x:v>
      </x:c>
      <x:c r="B2" t="str">
        <x:v>Systemic Holdings, Assets, Debt &amp; Ownership Watch</x:v>
      </x:c>
      <x:c r="C2" t="str">
        <x:v>What is connected, who holds it, who owes/finances it, who owns it, and what is changing?</x:v>
      </x:c>
    </x:row>
    <x:row r="3">
      <x:c r="A3" t="str">
        <x:v>M5Index</x:v>
      </x:c>
      <x:c r="B3" t="str">
        <x:v>Structured public intelligence for measuring and tracking asset state and economic transition</x:v>
      </x:c>
      <x:c r="C3" t="str">
        <x:v>How do we turn fragmented records into comparable public intelligence?</x:v>
      </x:c>
    </x:row>
    <x:row r="4">
      <x:c r="A4" t="str">
        <x:v>TitleChain Asset State</x:v>
      </x:c>
      <x:c r="B4" t="str">
        <x:v>Current machine-readable state of title, rights, claims, obligations, environment, authority and transferability</x:v>
      </x:c>
      <x:c r="C4" t="str">
        <x:v>What exactly is true about this asset now?</x:v>
      </x:c>
    </x:row>
    <x:row r="5">
      <x:c r="A5" t="str">
        <x:v>TSI</x:v>
      </x:c>
      <x:c r="B5" t="str">
        <x:v>Title State Integrity</x:v>
      </x:c>
      <x:c r="C5" t="str">
        <x:v>How complete, current, verified and transferable is the known title/rights state?</x:v>
      </x:c>
    </x:row>
    <x:row r="6">
      <x:c r="A6" t="str">
        <x:v>ASI</x:v>
      </x:c>
      <x:c r="B6" t="str">
        <x:v>Asset Stress Index</x:v>
      </x:c>
      <x:c r="C6" t="str">
        <x:v>How much pressure is the asset itself under?</x:v>
      </x:c>
    </x:row>
    <x:row r="7">
      <x:c r="A7" t="str">
        <x:v>DPI</x:v>
      </x:c>
      <x:c r="B7" t="str">
        <x:v>Debt Pressure Index</x:v>
      </x:c>
      <x:c r="C7" t="str">
        <x:v>How much pressure is coming from financing?</x:v>
      </x:c>
    </x:row>
    <x:row r="8">
      <x:c r="A8" t="str">
        <x:v>OOI</x:v>
      </x:c>
      <x:c r="B8" t="str">
        <x:v>Ownership Opacity Index</x:v>
      </x:c>
      <x:c r="C8" t="str">
        <x:v>How hard is it to determine ultimate control?</x:v>
      </x:c>
    </x:row>
    <x:row r="9">
      <x:c r="A9" t="str">
        <x:v>CCI</x:v>
      </x:c>
      <x:c r="B9" t="str">
        <x:v>Capital Concentration Index</x:v>
      </x:c>
      <x:c r="C9" t="str">
        <x:v>Where is ownership/acquisition capital concentrating?</x:v>
      </x:c>
    </x:row>
    <x:row r="10">
      <x:c r="A10" t="str">
        <x:v>PVMI</x:v>
      </x:c>
      <x:c r="B10" t="str">
        <x:v>Public Value Migration Index</x:v>
      </x:c>
      <x:c r="C10" t="str">
        <x:v>Where did economic value move after transfer?</x:v>
      </x:c>
    </x:row>
    <x:row r="11">
      <x:c r="A11" t="str">
        <x:v>PBOI</x:v>
      </x:c>
      <x:c r="B11" t="str">
        <x:v>Public Benefit Opportunity Index</x:v>
      </x:c>
      <x:c r="C11" t="str">
        <x:v>Does this asset warrant deeper People's Trust review?</x:v>
      </x:c>
    </x:row>
    <x:row r="12">
      <x:c r="A12" t="str">
        <x:v>Orbitalys</x:v>
      </x:c>
      <x:c r="B12" t="str">
        <x:v>Threat-vector and risk-relationship graph layer</x:v>
      </x:c>
      <x:c r="C12" t="str">
        <x:v>How can risk move through this graph?</x:v>
      </x:c>
    </x:row>
    <x:row r="13">
      <x:c r="A13" t="str">
        <x:v>M5Canon</x:v>
      </x:c>
      <x:c r="B13" t="str">
        <x:v>Deterministic authority-control layer</x:v>
      </x:c>
      <x:c r="C13" t="str">
        <x:v>Is this actor actually authorized to do this?</x:v>
      </x:c>
    </x:row>
    <x:row r="14">
      <x:c r="A14" t="str">
        <x:v>M5MST</x:v>
      </x:c>
      <x:c r="B14" t="str">
        <x:v>Origination, Minting, Sovereign Registration, Transfer Authority</x:v>
      </x:c>
      <x:c r="C14" t="str">
        <x:v>Where is the asset in the M5 lifecycle?</x:v>
      </x:c>
    </x:row>
    <x:row r="15">
      <x:c r="A15" t="str">
        <x:v>Ultimate Capital</x:v>
      </x:c>
      <x:c r="B15" t="str">
        <x:v>Identifiable capital source behind an acquisition/ownership structure</x:v>
      </x:c>
      <x:c r="C15" t="str">
        <x:v>Whose money ultimately sits behind the deal?</x:v>
      </x:c>
    </x:row>
    <x:row r="16">
      <x:c r="A16" t="str">
        <x:v>Residual Value</x:v>
      </x:c>
      <x:c r="B16" t="str">
        <x:v>Economic value remaining after obligations and defined investor claims are satisfied</x:v>
      </x:c>
      <x:c r="C16" t="str">
        <x:v>Who owns what is left after financing is paid?</x:v>
      </x:c>
    </x:row>
  </x:sheetData>
  <x:pageMargins left="0.7" right="0.7" top="0.75" bottom="0.75" header="0.3" footer="0.3"/>
  <x:tableParts count="1">
    <x:tablePart xmlns:r="http://schemas.openxmlformats.org/officeDocument/2006/relationships" r:id="R16ee1483bea4436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4" t="str">
        <x:v>SHADOW M5Index — Dataset Dashboard</x:v>
      </x:c>
    </x:row>
    <x:row r="3" ht="30" customHeight="1">
      <x:c r="A3" s="18" t="str">
        <x:v>Metric</x:v>
      </x:c>
      <x:c r="B3" s="18" t="str">
        <x:v>Value</x:v>
      </x:c>
      <x:c r="D3" s="18" t="str">
        <x:v>Tranche</x:v>
      </x:c>
      <x:c r="E3" s="18" t="str">
        <x:v>Asset Count</x:v>
      </x:c>
    </x:row>
    <x:row r="4">
      <x:c r="A4" t="str">
        <x:v>Total assets</x:v>
      </x:c>
      <x:c r="B4" t="n">
        <x:f>COUNTA(Assets_Index!A2:A37)</x:f>
        <x:v>36</x:v>
      </x:c>
      <x:c r="D4" t="str">
        <x:v>Tranche 1</x:v>
      </x:c>
      <x:c r="E4" t="n">
        <x:f>COUNTIF(Assets_Index!B2:B500,"Tranche 1")</x:f>
        <x:v>16</x:v>
      </x:c>
    </x:row>
    <x:row r="5">
      <x:c r="A5" t="str">
        <x:v>Known closed consideration</x:v>
      </x:c>
      <x:c r="B5" s="22" t="n">
        <x:f>SUM(Assets_Index!M2:M37)</x:f>
        <x:v>570768687</x:v>
      </x:c>
      <x:c r="D5" t="str">
        <x:v>Tranche 2</x:v>
      </x:c>
      <x:c r="E5" t="n">
        <x:f>COUNTIF(Assets_Index!B2:B500,"Tranche 2")</x:f>
        <x:v>9</x:v>
      </x:c>
    </x:row>
    <x:row r="6">
      <x:c r="A6" t="str">
        <x:v>Closed assets</x:v>
      </x:c>
      <x:c r="B6" t="n">
        <x:f>COUNTIF(Assets_Index!J2:J37,"P6 CLOSED")</x:f>
        <x:v>25</x:v>
      </x:c>
      <x:c r="D6" t="str">
        <x:v>Tranche 3</x:v>
      </x:c>
      <x:c r="E6" t="n">
        <x:f>COUNTIF(Assets_Index!B2:B500,"Tranche 3")</x:f>
        <x:v>11</x:v>
      </x:c>
    </x:row>
    <x:row r="7">
      <x:c r="A7" t="str">
        <x:v>Buyer undisclosed</x:v>
      </x:c>
      <x:c r="B7" t="n">
        <x:f>COUNTIF(Assets_Index!L2:L37,"O0 BUYER_UNDISCLOSED")</x:f>
        <x:v>17</x:v>
      </x:c>
      <x:c r="D7" t="str">
        <x:v>Future</x:v>
      </x:c>
      <x:c r="E7" t="n">
        <x:f>COUNTIF(Assets_Index!B2:B500,"Future")</x:f>
        <x:v>0</x:v>
      </x:c>
    </x:row>
    <x:row r="8">
      <x:c r="A8" t="str">
        <x:v>Active / pre-close pipeline</x:v>
      </x:c>
      <x:c r="B8" t="n">
        <x:f>COUNTIF(Assets_Index!J2:J37,"P1 REVIEW")+COUNTIF(Assets_Index!J2:J37,"P2 MARKETED")+COUNTIF(Assets_Index!J2:J37,"P3 BIDDING")+COUNTIF(Assets_Index!J2:J37,"P4 HIGH_BIDDER")+COUNTIF(Assets_Index!J2:J37,"P5 UNDER_CONTRACT")</x:f>
        <x:v>11</x:v>
      </x:c>
    </x:row>
    <x:row r="9">
      <x:c r="A9" t="str">
        <x:v>Critical research queue</x:v>
      </x:c>
      <x:c r="B9" t="n">
        <x:f>COUNTIF(Contributor_Queue!C2:C14,"CRITICAL")</x:f>
        <x:v>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1f298bd2ac54170"/>
</x:worksheet>
</file>